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Преподавание\TEACH\PART_DU\2025-2026\"/>
    </mc:Choice>
  </mc:AlternateContent>
  <bookViews>
    <workbookView xWindow="0" yWindow="0" windowWidth="23040" windowHeight="9372" activeTab="2"/>
  </bookViews>
  <sheets>
    <sheet name="308 - 1 семестр" sheetId="3" r:id="rId1"/>
    <sheet name="308, с.р." sheetId="4" r:id="rId2"/>
    <sheet name="308, кр" sheetId="5" r:id="rId3"/>
    <sheet name="308, кр0" sheetId="1" r:id="rId4"/>
    <sheet name="308 - 2 семестр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7" i="5" l="1"/>
  <c r="AF18" i="5"/>
  <c r="AF19" i="5"/>
  <c r="AF20" i="5"/>
  <c r="AF21" i="5"/>
  <c r="AF22" i="5"/>
  <c r="AF23" i="5"/>
  <c r="Y17" i="5"/>
  <c r="Y18" i="5"/>
  <c r="Y19" i="5"/>
  <c r="Y20" i="5"/>
  <c r="Y21" i="5"/>
  <c r="Y22" i="5"/>
  <c r="Y23" i="5"/>
  <c r="H17" i="5"/>
  <c r="N17" i="5"/>
  <c r="O17" i="5"/>
  <c r="H18" i="5"/>
  <c r="N18" i="5"/>
  <c r="O18" i="5"/>
  <c r="H19" i="5"/>
  <c r="N19" i="5"/>
  <c r="O19" i="5"/>
  <c r="H20" i="5"/>
  <c r="N20" i="5"/>
  <c r="O20" i="5"/>
  <c r="H21" i="5"/>
  <c r="N21" i="5"/>
  <c r="O21" i="5"/>
  <c r="H22" i="5"/>
  <c r="N22" i="5"/>
  <c r="O22" i="5"/>
  <c r="H23" i="5"/>
  <c r="N23" i="5"/>
  <c r="O23" i="5"/>
  <c r="H6" i="5"/>
  <c r="N6" i="5"/>
  <c r="O6" i="5"/>
  <c r="AF4" i="5"/>
  <c r="AF5" i="5"/>
  <c r="AF6" i="5"/>
  <c r="AF7" i="5"/>
  <c r="AF8" i="5"/>
  <c r="AF10" i="5"/>
  <c r="AF9" i="5"/>
  <c r="AF11" i="5"/>
  <c r="AF12" i="5"/>
  <c r="AF13" i="5"/>
  <c r="AF14" i="5"/>
  <c r="AF15" i="5"/>
  <c r="AF16" i="5"/>
  <c r="AF3" i="5"/>
  <c r="Y4" i="5"/>
  <c r="Y5" i="5"/>
  <c r="Y6" i="5"/>
  <c r="Y7" i="5"/>
  <c r="Y8" i="5"/>
  <c r="Y10" i="5"/>
  <c r="Y9" i="5"/>
  <c r="Y11" i="5"/>
  <c r="Y12" i="5"/>
  <c r="Y13" i="5"/>
  <c r="Y14" i="5"/>
  <c r="Y15" i="5"/>
  <c r="Y16" i="5"/>
  <c r="Y3" i="5"/>
  <c r="H14" i="5"/>
  <c r="N14" i="5"/>
  <c r="O14" i="5"/>
  <c r="N4" i="5"/>
  <c r="H4" i="5"/>
  <c r="O4" i="5"/>
  <c r="N5" i="5"/>
  <c r="N7" i="5"/>
  <c r="H7" i="5"/>
  <c r="O7" i="5"/>
  <c r="N8" i="5"/>
  <c r="H8" i="5"/>
  <c r="O8" i="5"/>
  <c r="N10" i="5"/>
  <c r="H10" i="5"/>
  <c r="N9" i="5"/>
  <c r="H9" i="5"/>
  <c r="O9" i="5"/>
  <c r="N11" i="5"/>
  <c r="H11" i="5"/>
  <c r="O11" i="5"/>
  <c r="N12" i="5"/>
  <c r="N13" i="5"/>
  <c r="N15" i="5"/>
  <c r="H15" i="5"/>
  <c r="O15" i="5"/>
  <c r="N16" i="5"/>
  <c r="H16" i="5"/>
  <c r="O16" i="5"/>
  <c r="N3" i="5"/>
  <c r="H5" i="5"/>
  <c r="O5" i="5"/>
  <c r="H12" i="5"/>
  <c r="O12" i="5"/>
  <c r="H13" i="5"/>
  <c r="H3" i="5"/>
  <c r="O3" i="5"/>
  <c r="O13" i="5"/>
  <c r="O10" i="5"/>
</calcChain>
</file>

<file path=xl/sharedStrings.xml><?xml version="1.0" encoding="utf-8"?>
<sst xmlns="http://schemas.openxmlformats.org/spreadsheetml/2006/main" count="745" uniqueCount="151">
  <si>
    <t>Фамилия, имя, отчество</t>
  </si>
  <si>
    <t>Варианты</t>
  </si>
  <si>
    <t>Самостоятельная 1</t>
  </si>
  <si>
    <t>Самостоятельная 2</t>
  </si>
  <si>
    <t>Самостоятельная 3</t>
  </si>
  <si>
    <t>Самостоятельная 4</t>
  </si>
  <si>
    <t>Контрольная 1</t>
  </si>
  <si>
    <t>Контрольная 2</t>
  </si>
  <si>
    <t>кол-во</t>
  </si>
  <si>
    <t>Вар</t>
  </si>
  <si>
    <t>1</t>
  </si>
  <si>
    <t>2</t>
  </si>
  <si>
    <t>3</t>
  </si>
  <si>
    <t>4</t>
  </si>
  <si>
    <t>5</t>
  </si>
  <si>
    <t>Сумма</t>
  </si>
  <si>
    <t>к/р</t>
  </si>
  <si>
    <t>долги</t>
  </si>
  <si>
    <t>задач</t>
  </si>
  <si>
    <t>Контрольная</t>
  </si>
  <si>
    <t>+С, табл</t>
  </si>
  <si>
    <t>Д1681-1710</t>
  </si>
  <si>
    <t>Д3951-55,</t>
  </si>
  <si>
    <t>Ф1151-1160</t>
  </si>
  <si>
    <t>ФС 527, 545</t>
  </si>
  <si>
    <t>Ф-лы Грина,</t>
  </si>
  <si>
    <t>Преобраз.</t>
  </si>
  <si>
    <t>6</t>
  </si>
  <si>
    <t>(замены)</t>
  </si>
  <si>
    <t>(по частям)</t>
  </si>
  <si>
    <t>3980-81,4079</t>
  </si>
  <si>
    <t>Гаусса-Остр.</t>
  </si>
  <si>
    <t>сист коорд.</t>
  </si>
  <si>
    <t>экз</t>
  </si>
  <si>
    <t>сред.</t>
  </si>
  <si>
    <t>Контрольная 3</t>
  </si>
  <si>
    <t>Контрольная 4</t>
  </si>
  <si>
    <t>зачет</t>
  </si>
  <si>
    <t>итог</t>
  </si>
  <si>
    <t>Бейтуллаев Эмир Русланович</t>
  </si>
  <si>
    <t>Д2099-2115, 51-59</t>
  </si>
  <si>
    <t>Аветисян Тигран  Рудикович</t>
  </si>
  <si>
    <t>Алехин Степан Викторович</t>
  </si>
  <si>
    <t>Богданова Ирина Дмитриевна</t>
  </si>
  <si>
    <t>Евлоев исмаил Баширович</t>
  </si>
  <si>
    <t>Завгородняя Злата Сергеевна</t>
  </si>
  <si>
    <t>Ильин Константин Вячеславович</t>
  </si>
  <si>
    <t>Захаров Платон Петрович</t>
  </si>
  <si>
    <t>Капин Александр Николаевич</t>
  </si>
  <si>
    <t>Капин Петр Николаевич</t>
  </si>
  <si>
    <t>Комков Михаил Ильич</t>
  </si>
  <si>
    <t>Комков Павел Ильич</t>
  </si>
  <si>
    <t>Краснов Денис Ефимович</t>
  </si>
  <si>
    <t>Крючков-Курносенко Владимир Вячеславович</t>
  </si>
  <si>
    <t>Митрофанов Федор Андреевич</t>
  </si>
  <si>
    <t>Педько Сергей Павлович</t>
  </si>
  <si>
    <t>Пермяков Павел Андреевич</t>
  </si>
  <si>
    <t>Попель Мария Сергеевна</t>
  </si>
  <si>
    <t>Руденский Дмитрий Евгеньевич</t>
  </si>
  <si>
    <t>Скроботов Егор Евгеньевич</t>
  </si>
  <si>
    <t>Царьков Василий Алексеевич</t>
  </si>
  <si>
    <t>+</t>
  </si>
  <si>
    <t>-</t>
  </si>
  <si>
    <t>+-</t>
  </si>
  <si>
    <t>Евлоев Исмаил Баширович</t>
  </si>
  <si>
    <t>0</t>
  </si>
  <si>
    <t>-+</t>
  </si>
  <si>
    <t>+.</t>
  </si>
  <si>
    <t>√</t>
  </si>
  <si>
    <t>Гр, Г-О</t>
  </si>
  <si>
    <t>√ чет</t>
  </si>
  <si>
    <t>√ неч</t>
  </si>
  <si>
    <t>0.5+С</t>
  </si>
  <si>
    <t>.</t>
  </si>
  <si>
    <t>н</t>
  </si>
  <si>
    <t>.?1218,19</t>
  </si>
  <si>
    <t>.?1218,19!</t>
  </si>
  <si>
    <t>.1218,19</t>
  </si>
  <si>
    <t>.14.26</t>
  </si>
  <si>
    <t>.сист 3</t>
  </si>
  <si>
    <t>.сист5</t>
  </si>
  <si>
    <t>—</t>
  </si>
  <si>
    <t>.!</t>
  </si>
  <si>
    <t>.-сист2-5</t>
  </si>
  <si>
    <t>.-сист</t>
  </si>
  <si>
    <t>.14.39, док-во</t>
  </si>
  <si>
    <t>.14.39</t>
  </si>
  <si>
    <t>—2.3 4)-6)</t>
  </si>
  <si>
    <t>— 2.3 4)-6)</t>
  </si>
  <si>
    <t>.2.3-8)?</t>
  </si>
  <si>
    <t>.—14.35-41;?12.36</t>
  </si>
  <si>
    <t>.—12.36 6)</t>
  </si>
  <si>
    <t>.2.3-5),8)!</t>
  </si>
  <si>
    <t>.?20</t>
  </si>
  <si>
    <t>.—19</t>
  </si>
  <si>
    <t>.?20,23</t>
  </si>
  <si>
    <t>.?23</t>
  </si>
  <si>
    <t>.?23!</t>
  </si>
  <si>
    <t>.?19!</t>
  </si>
  <si>
    <t>.?4</t>
  </si>
  <si>
    <t>.?</t>
  </si>
  <si>
    <t>.?4,5</t>
  </si>
  <si>
    <t>.—4,5</t>
  </si>
  <si>
    <t>.—5г,д</t>
  </si>
  <si>
    <t>.?4–5</t>
  </si>
  <si>
    <t>.?21-2), 23;24</t>
  </si>
  <si>
    <t>.?18.21-2);18.23-2);18.24,18.10-10),12)</t>
  </si>
  <si>
    <t>.?21,23,24</t>
  </si>
  <si>
    <t>.?21-2), 24</t>
  </si>
  <si>
    <t>.? 21-2), 24</t>
  </si>
  <si>
    <t>— 18.6</t>
  </si>
  <si>
    <t>.?21-2);24-2) ответы</t>
  </si>
  <si>
    <t>.—24</t>
  </si>
  <si>
    <t>.?21-2), 23-2), 24!</t>
  </si>
  <si>
    <t>.?21,23,24!</t>
  </si>
  <si>
    <t>.?21-2), 23, 24-1)!</t>
  </si>
  <si>
    <t>.21, 23, 24!</t>
  </si>
  <si>
    <t>.?23,24</t>
  </si>
  <si>
    <t>.?17.4 интегралы, 17.13</t>
  </si>
  <si>
    <t>.?17.13</t>
  </si>
  <si>
    <t>.?17.4инт, 17.13</t>
  </si>
  <si>
    <t>.?17.13-4),6)</t>
  </si>
  <si>
    <t>.?все</t>
  </si>
  <si>
    <t>.?—</t>
  </si>
  <si>
    <t>.?17.4инт,17.13</t>
  </si>
  <si>
    <t>..17.3!17.4инт,17.13</t>
  </si>
  <si>
    <t>.?—!</t>
  </si>
  <si>
    <t>.?17.4, 17.13</t>
  </si>
  <si>
    <t>.— посл. 3</t>
  </si>
  <si>
    <t>н+</t>
  </si>
  <si>
    <t>—+</t>
  </si>
  <si>
    <t>.150?</t>
  </si>
  <si>
    <t>.150?,149</t>
  </si>
  <si>
    <t>.+</t>
  </si>
  <si>
    <t>.13.8-4)</t>
  </si>
  <si>
    <t>.13.8-4), 5)</t>
  </si>
  <si>
    <t>.13.5-6), 13.8-4),5)</t>
  </si>
  <si>
    <t>.13.8-4),5)</t>
  </si>
  <si>
    <t>.13.8-5)</t>
  </si>
  <si>
    <t>.-сист4,5+</t>
  </si>
  <si>
    <t>.—14.*+</t>
  </si>
  <si>
    <t>.—20.45-2)</t>
  </si>
  <si>
    <t>.—21,23,24+</t>
  </si>
  <si>
    <t>..+-</t>
  </si>
  <si>
    <t>…</t>
  </si>
  <si>
    <t>..+</t>
  </si>
  <si>
    <t>…+-</t>
  </si>
  <si>
    <t>все</t>
  </si>
  <si>
    <t>∞</t>
  </si>
  <si>
    <t>0+0</t>
  </si>
  <si>
    <t>0+1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</si>
</sst>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6"/>
      <name val="Yu Gothic"/>
      <family val="2"/>
      <charset val="128"/>
    </font>
    <font>
      <sz val="11"/>
      <color theme="1"/>
      <name val="Times New Roman"/>
      <family val="1"/>
      <charset val="204"/>
    </font>
    <font>
      <strike/>
      <sz val="11"/>
      <color theme="1"/>
      <name val="Calibri"/>
      <family val="2"/>
      <charset val="204"/>
      <scheme val="minor"/>
    </font>
    <font>
      <strike/>
      <sz val="11"/>
      <color theme="1"/>
      <name val="Calibri"/>
      <family val="2"/>
      <scheme val="minor"/>
    </font>
    <font>
      <sz val="10"/>
      <color rgb="FF1A1A1A"/>
      <name val="Arial"/>
      <family val="2"/>
      <charset val="204"/>
    </font>
    <font>
      <b/>
      <sz val="12"/>
      <color rgb="FF000000"/>
      <name val="Batang"/>
      <family val="18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double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double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50505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 style="medium">
        <color rgb="FF505050"/>
      </bottom>
      <diagonal/>
    </border>
    <border>
      <left/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13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0" fontId="0" fillId="0" borderId="16" xfId="0" applyBorder="1"/>
    <xf numFmtId="49" fontId="0" fillId="0" borderId="17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9" xfId="0" applyNumberFormat="1" applyBorder="1"/>
    <xf numFmtId="49" fontId="0" fillId="0" borderId="20" xfId="0" applyNumberFormat="1" applyBorder="1"/>
    <xf numFmtId="49" fontId="0" fillId="0" borderId="21" xfId="0" applyNumberFormat="1" applyBorder="1"/>
    <xf numFmtId="0" fontId="0" fillId="0" borderId="29" xfId="0" applyBorder="1" applyAlignment="1">
      <alignment horizontal="center"/>
    </xf>
    <xf numFmtId="14" fontId="0" fillId="0" borderId="30" xfId="0" applyNumberFormat="1" applyBorder="1"/>
    <xf numFmtId="14" fontId="0" fillId="0" borderId="32" xfId="0" applyNumberFormat="1" applyBorder="1"/>
    <xf numFmtId="0" fontId="0" fillId="0" borderId="41" xfId="0" applyBorder="1"/>
    <xf numFmtId="0" fontId="0" fillId="0" borderId="42" xfId="0" applyBorder="1"/>
    <xf numFmtId="0" fontId="0" fillId="0" borderId="50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center"/>
    </xf>
    <xf numFmtId="14" fontId="0" fillId="0" borderId="54" xfId="0" applyNumberFormat="1" applyBorder="1"/>
    <xf numFmtId="14" fontId="0" fillId="0" borderId="56" xfId="0" applyNumberFormat="1" applyBorder="1"/>
    <xf numFmtId="0" fontId="0" fillId="0" borderId="59" xfId="0" applyBorder="1" applyAlignment="1">
      <alignment horizontal="center"/>
    </xf>
    <xf numFmtId="0" fontId="1" fillId="0" borderId="33" xfId="0" applyFont="1" applyBorder="1" applyAlignment="1">
      <alignment horizontal="center"/>
    </xf>
    <xf numFmtId="14" fontId="0" fillId="0" borderId="61" xfId="0" applyNumberFormat="1" applyBorder="1"/>
    <xf numFmtId="0" fontId="0" fillId="0" borderId="62" xfId="0" applyBorder="1"/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14" fontId="0" fillId="0" borderId="32" xfId="0" applyNumberFormat="1" applyFont="1" applyBorder="1"/>
    <xf numFmtId="49" fontId="0" fillId="0" borderId="2" xfId="0" applyNumberFormat="1" applyFont="1" applyBorder="1" applyAlignment="1">
      <alignment horizontal="center"/>
    </xf>
    <xf numFmtId="49" fontId="0" fillId="0" borderId="12" xfId="0" applyNumberFormat="1" applyFill="1" applyBorder="1" applyAlignment="1">
      <alignment horizontal="center"/>
    </xf>
    <xf numFmtId="0" fontId="0" fillId="0" borderId="64" xfId="0" applyBorder="1"/>
    <xf numFmtId="0" fontId="0" fillId="0" borderId="66" xfId="0" applyBorder="1"/>
    <xf numFmtId="49" fontId="0" fillId="0" borderId="1" xfId="0" applyNumberForma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49" fontId="0" fillId="0" borderId="58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49" fontId="0" fillId="0" borderId="33" xfId="0" applyNumberFormat="1" applyBorder="1" applyAlignment="1">
      <alignment horizontal="center"/>
    </xf>
    <xf numFmtId="0" fontId="0" fillId="0" borderId="72" xfId="0" applyBorder="1"/>
    <xf numFmtId="0" fontId="0" fillId="0" borderId="27" xfId="0" applyBorder="1"/>
    <xf numFmtId="49" fontId="0" fillId="0" borderId="75" xfId="0" applyNumberFormat="1" applyBorder="1" applyAlignment="1">
      <alignment horizontal="center"/>
    </xf>
    <xf numFmtId="0" fontId="0" fillId="0" borderId="76" xfId="0" applyBorder="1" applyAlignment="1">
      <alignment horizontal="center"/>
    </xf>
    <xf numFmtId="49" fontId="0" fillId="0" borderId="77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" fillId="0" borderId="78" xfId="0" applyFont="1" applyBorder="1" applyAlignment="1">
      <alignment horizontal="center"/>
    </xf>
    <xf numFmtId="0" fontId="1" fillId="0" borderId="79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0" xfId="0" applyFont="1"/>
    <xf numFmtId="49" fontId="0" fillId="0" borderId="57" xfId="0" applyNumberFormat="1" applyFont="1" applyBorder="1" applyAlignment="1">
      <alignment horizontal="center"/>
    </xf>
    <xf numFmtId="0" fontId="0" fillId="0" borderId="55" xfId="0" applyBorder="1" applyAlignment="1">
      <alignment horizontal="center"/>
    </xf>
    <xf numFmtId="49" fontId="0" fillId="0" borderId="57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49" fontId="0" fillId="0" borderId="44" xfId="0" applyNumberFormat="1" applyBorder="1" applyAlignment="1">
      <alignment horizontal="center"/>
    </xf>
    <xf numFmtId="49" fontId="0" fillId="0" borderId="88" xfId="0" applyNumberFormat="1" applyFill="1" applyBorder="1" applyAlignment="1">
      <alignment horizontal="center"/>
    </xf>
    <xf numFmtId="49" fontId="0" fillId="0" borderId="22" xfId="0" applyNumberFormat="1" applyFill="1" applyBorder="1" applyAlignment="1">
      <alignment horizontal="center"/>
    </xf>
    <xf numFmtId="49" fontId="0" fillId="0" borderId="23" xfId="0" applyNumberFormat="1" applyFill="1" applyBorder="1" applyAlignment="1">
      <alignment horizontal="center"/>
    </xf>
    <xf numFmtId="49" fontId="0" fillId="0" borderId="24" xfId="0" applyNumberFormat="1" applyFill="1" applyBorder="1" applyAlignment="1">
      <alignment horizontal="center"/>
    </xf>
    <xf numFmtId="49" fontId="0" fillId="0" borderId="25" xfId="0" applyNumberForma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49" fontId="0" fillId="0" borderId="5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49" fontId="0" fillId="0" borderId="4" xfId="0" applyNumberFormat="1" applyFill="1" applyBorder="1" applyAlignment="1">
      <alignment horizontal="center"/>
    </xf>
    <xf numFmtId="49" fontId="0" fillId="0" borderId="17" xfId="0" applyNumberFormat="1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18" xfId="0" applyNumberFormat="1" applyFill="1" applyBorder="1" applyAlignment="1">
      <alignment horizontal="center"/>
    </xf>
    <xf numFmtId="49" fontId="0" fillId="0" borderId="7" xfId="0" applyNumberFormat="1" applyFill="1" applyBorder="1" applyAlignment="1">
      <alignment horizontal="center"/>
    </xf>
    <xf numFmtId="49" fontId="0" fillId="0" borderId="11" xfId="0" applyNumberFormat="1" applyFill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49" fontId="0" fillId="0" borderId="14" xfId="0" applyNumberFormat="1" applyFill="1" applyBorder="1" applyAlignment="1">
      <alignment horizontal="center"/>
    </xf>
    <xf numFmtId="49" fontId="0" fillId="2" borderId="58" xfId="0" applyNumberForma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49" fontId="0" fillId="2" borderId="33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0" borderId="89" xfId="0" applyFont="1" applyBorder="1" applyAlignment="1">
      <alignment vertical="center" wrapText="1"/>
    </xf>
    <xf numFmtId="0" fontId="8" fillId="0" borderId="63" xfId="0" applyFont="1" applyBorder="1" applyAlignment="1">
      <alignment vertical="center" wrapText="1"/>
    </xf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49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" fontId="0" fillId="2" borderId="60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" fontId="1" fillId="2" borderId="81" xfId="0" applyNumberFormat="1" applyFont="1" applyFill="1" applyBorder="1" applyAlignment="1">
      <alignment horizontal="center"/>
    </xf>
    <xf numFmtId="49" fontId="1" fillId="2" borderId="81" xfId="0" applyNumberFormat="1" applyFont="1" applyFill="1" applyBorder="1" applyAlignment="1">
      <alignment horizontal="center"/>
    </xf>
    <xf numFmtId="0" fontId="1" fillId="2" borderId="82" xfId="0" applyFon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4" fontId="0" fillId="2" borderId="17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1" fillId="2" borderId="8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2" borderId="75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1" fontId="1" fillId="2" borderId="90" xfId="0" applyNumberFormat="1" applyFont="1" applyFill="1" applyBorder="1" applyAlignment="1">
      <alignment horizontal="center"/>
    </xf>
    <xf numFmtId="164" fontId="0" fillId="2" borderId="3" xfId="0" applyNumberFormat="1" applyFill="1" applyBorder="1"/>
    <xf numFmtId="49" fontId="1" fillId="2" borderId="91" xfId="0" applyNumberFormat="1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0" fillId="2" borderId="12" xfId="0" applyFill="1" applyBorder="1"/>
    <xf numFmtId="0" fontId="0" fillId="2" borderId="15" xfId="0" applyFill="1" applyBorder="1"/>
    <xf numFmtId="0" fontId="8" fillId="0" borderId="65" xfId="0" applyFont="1" applyBorder="1" applyAlignment="1">
      <alignment vertical="center" wrapText="1"/>
    </xf>
    <xf numFmtId="164" fontId="0" fillId="2" borderId="15" xfId="0" applyNumberFormat="1" applyFill="1" applyBorder="1" applyAlignment="1">
      <alignment horizontal="center"/>
    </xf>
    <xf numFmtId="1" fontId="1" fillId="2" borderId="87" xfId="0" applyNumberFormat="1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49" fontId="0" fillId="2" borderId="44" xfId="0" applyNumberFormat="1" applyFill="1" applyBorder="1" applyAlignment="1">
      <alignment horizontal="center" vertical="center"/>
    </xf>
    <xf numFmtId="49" fontId="0" fillId="2" borderId="47" xfId="0" applyNumberFormat="1" applyFill="1" applyBorder="1" applyAlignment="1">
      <alignment horizontal="center" vertical="center"/>
    </xf>
    <xf numFmtId="49" fontId="0" fillId="2" borderId="43" xfId="0" applyNumberFormat="1" applyFill="1" applyBorder="1" applyAlignment="1">
      <alignment horizontal="center" vertical="center"/>
    </xf>
    <xf numFmtId="49" fontId="0" fillId="2" borderId="46" xfId="0" applyNumberFormat="1" applyFill="1" applyBorder="1" applyAlignment="1">
      <alignment horizontal="center" vertical="center"/>
    </xf>
    <xf numFmtId="49" fontId="0" fillId="2" borderId="33" xfId="0" applyNumberFormat="1" applyFill="1" applyBorder="1" applyAlignment="1">
      <alignment horizontal="center" vertical="center"/>
    </xf>
    <xf numFmtId="49" fontId="0" fillId="2" borderId="36" xfId="0" applyNumberFormat="1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/>
    </xf>
    <xf numFmtId="49" fontId="0" fillId="2" borderId="35" xfId="0" applyNumberFormat="1" applyFill="1" applyBorder="1" applyAlignment="1">
      <alignment horizontal="center" vertical="center"/>
    </xf>
    <xf numFmtId="49" fontId="0" fillId="2" borderId="68" xfId="0" applyNumberFormat="1" applyFill="1" applyBorder="1" applyAlignment="1">
      <alignment horizontal="center" vertical="center"/>
    </xf>
    <xf numFmtId="49" fontId="0" fillId="2" borderId="71" xfId="0" applyNumberFormat="1" applyFill="1" applyBorder="1" applyAlignment="1">
      <alignment horizontal="center" vertical="center"/>
    </xf>
    <xf numFmtId="49" fontId="0" fillId="2" borderId="67" xfId="0" applyNumberFormat="1" applyFill="1" applyBorder="1" applyAlignment="1">
      <alignment horizontal="center" vertical="center"/>
    </xf>
    <xf numFmtId="49" fontId="0" fillId="2" borderId="70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68" xfId="0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0" fillId="2" borderId="8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15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5" borderId="17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9" fontId="0" fillId="3" borderId="35" xfId="0" applyNumberFormat="1" applyFill="1" applyBorder="1" applyAlignment="1">
      <alignment horizontal="center" vertical="center"/>
    </xf>
    <xf numFmtId="49" fontId="0" fillId="3" borderId="33" xfId="0" applyNumberFormat="1" applyFill="1" applyBorder="1" applyAlignment="1">
      <alignment horizontal="center" vertical="center"/>
    </xf>
    <xf numFmtId="49" fontId="0" fillId="3" borderId="36" xfId="0" applyNumberFormat="1" applyFill="1" applyBorder="1" applyAlignment="1">
      <alignment horizontal="center" vertical="center"/>
    </xf>
    <xf numFmtId="49" fontId="0" fillId="3" borderId="38" xfId="0" applyNumberFormat="1" applyFill="1" applyBorder="1" applyAlignment="1">
      <alignment horizontal="center" vertical="center"/>
    </xf>
    <xf numFmtId="49" fontId="3" fillId="3" borderId="38" xfId="0" applyNumberFormat="1" applyFont="1" applyFill="1" applyBorder="1" applyAlignment="1">
      <alignment horizontal="center" vertical="center"/>
    </xf>
    <xf numFmtId="49" fontId="3" fillId="3" borderId="33" xfId="0" applyNumberFormat="1" applyFon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/>
    <xf numFmtId="164" fontId="0" fillId="2" borderId="12" xfId="0" applyNumberFormat="1" applyFill="1" applyBorder="1"/>
    <xf numFmtId="0" fontId="0" fillId="2" borderId="7" xfId="0" applyFill="1" applyBorder="1" applyAlignment="1">
      <alignment horizontal="center" vertical="center"/>
    </xf>
    <xf numFmtId="164" fontId="0" fillId="2" borderId="75" xfId="0" applyNumberFormat="1" applyFill="1" applyBorder="1" applyAlignment="1">
      <alignment horizontal="center" vertical="center"/>
    </xf>
    <xf numFmtId="1" fontId="1" fillId="2" borderId="90" xfId="0" applyNumberFormat="1" applyFont="1" applyFill="1" applyBorder="1" applyAlignment="1">
      <alignment horizontal="center" vertical="center"/>
    </xf>
    <xf numFmtId="1" fontId="1" fillId="6" borderId="81" xfId="0" applyNumberFormat="1" applyFont="1" applyFill="1" applyBorder="1" applyAlignment="1">
      <alignment horizontal="center"/>
    </xf>
    <xf numFmtId="1" fontId="1" fillId="6" borderId="90" xfId="0" applyNumberFormat="1" applyFont="1" applyFill="1" applyBorder="1" applyAlignment="1">
      <alignment horizontal="center"/>
    </xf>
    <xf numFmtId="0" fontId="0" fillId="2" borderId="37" xfId="0" applyFill="1" applyBorder="1" applyAlignment="1">
      <alignment horizontal="center" vertical="center"/>
    </xf>
    <xf numFmtId="0" fontId="0" fillId="2" borderId="9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 vertical="center"/>
    </xf>
    <xf numFmtId="164" fontId="0" fillId="7" borderId="12" xfId="0" applyNumberFormat="1" applyFill="1" applyBorder="1"/>
    <xf numFmtId="164" fontId="0" fillId="7" borderId="3" xfId="0" applyNumberFormat="1" applyFill="1" applyBorder="1" applyAlignment="1">
      <alignment horizontal="center" vertical="center"/>
    </xf>
    <xf numFmtId="164" fontId="0" fillId="6" borderId="12" xfId="0" applyNumberFormat="1" applyFill="1" applyBorder="1"/>
    <xf numFmtId="0" fontId="0" fillId="0" borderId="93" xfId="0" applyBorder="1"/>
    <xf numFmtId="0" fontId="0" fillId="2" borderId="94" xfId="0" applyFill="1" applyBorder="1" applyAlignment="1">
      <alignment horizontal="center"/>
    </xf>
    <xf numFmtId="0" fontId="0" fillId="2" borderId="95" xfId="0" applyFill="1" applyBorder="1" applyAlignment="1">
      <alignment horizontal="center"/>
    </xf>
    <xf numFmtId="0" fontId="0" fillId="2" borderId="96" xfId="0" applyFill="1" applyBorder="1" applyAlignment="1">
      <alignment horizontal="center"/>
    </xf>
    <xf numFmtId="0" fontId="0" fillId="2" borderId="97" xfId="0" applyFill="1" applyBorder="1" applyAlignment="1">
      <alignment horizontal="center"/>
    </xf>
    <xf numFmtId="0" fontId="1" fillId="0" borderId="92" xfId="0" applyFont="1" applyBorder="1" applyAlignment="1">
      <alignment horizontal="center"/>
    </xf>
    <xf numFmtId="0" fontId="9" fillId="0" borderId="58" xfId="0" applyFont="1" applyBorder="1" applyAlignment="1">
      <alignment horizontal="center" wrapText="1"/>
    </xf>
    <xf numFmtId="0" fontId="2" fillId="2" borderId="58" xfId="0" applyFont="1" applyFill="1" applyBorder="1" applyAlignment="1">
      <alignment horizontal="center"/>
    </xf>
    <xf numFmtId="0" fontId="6" fillId="2" borderId="58" xfId="0" applyFont="1" applyFill="1" applyBorder="1" applyAlignment="1">
      <alignment horizontal="center"/>
    </xf>
    <xf numFmtId="0" fontId="5" fillId="2" borderId="58" xfId="0" applyFont="1" applyFill="1" applyBorder="1" applyAlignment="1">
      <alignment horizontal="center" vertical="center"/>
    </xf>
    <xf numFmtId="0" fontId="0" fillId="2" borderId="58" xfId="0" applyFill="1" applyBorder="1" applyAlignment="1">
      <alignment horizontal="center"/>
    </xf>
    <xf numFmtId="0" fontId="7" fillId="2" borderId="58" xfId="0" applyFont="1" applyFill="1" applyBorder="1" applyAlignment="1">
      <alignment horizontal="center" vertical="center"/>
    </xf>
    <xf numFmtId="0" fontId="0" fillId="0" borderId="98" xfId="0" applyBorder="1" applyAlignment="1">
      <alignment horizontal="center"/>
    </xf>
    <xf numFmtId="1" fontId="0" fillId="2" borderId="99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5" fillId="2" borderId="100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8" xfId="0" applyBorder="1" applyAlignment="1">
      <alignment horizontal="center"/>
    </xf>
    <xf numFmtId="164" fontId="0" fillId="0" borderId="72" xfId="0" applyNumberFormat="1" applyBorder="1" applyAlignment="1">
      <alignment horizontal="center" vertical="center"/>
    </xf>
    <xf numFmtId="164" fontId="0" fillId="0" borderId="73" xfId="0" applyNumberFormat="1" applyBorder="1" applyAlignment="1">
      <alignment horizontal="center" vertical="center"/>
    </xf>
    <xf numFmtId="164" fontId="0" fillId="0" borderId="74" xfId="0" applyNumberFormat="1" applyBorder="1" applyAlignment="1">
      <alignment horizontal="center" vertical="center"/>
    </xf>
    <xf numFmtId="164" fontId="0" fillId="0" borderId="84" xfId="0" applyNumberFormat="1" applyBorder="1" applyAlignment="1">
      <alignment horizontal="center" vertical="center"/>
    </xf>
    <xf numFmtId="164" fontId="0" fillId="0" borderId="85" xfId="0" applyNumberForma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xSplit="1" topLeftCell="B1" activePane="topRight" state="frozen"/>
      <selection activeCell="O13" sqref="O13"/>
      <selection pane="topRight" activeCell="G11" sqref="G11"/>
    </sheetView>
  </sheetViews>
  <sheetFormatPr defaultRowHeight="14.4" x14ac:dyDescent="0.3"/>
  <cols>
    <col min="1" max="1" width="32.77734375" customWidth="1"/>
    <col min="2" max="7" width="10.109375" bestFit="1" customWidth="1"/>
    <col min="8" max="8" width="10.6640625" customWidth="1"/>
    <col min="9" max="9" width="10.33203125" customWidth="1"/>
    <col min="10" max="16" width="10.109375" bestFit="1" customWidth="1"/>
  </cols>
  <sheetData>
    <row r="1" spans="1:16" ht="15" thickBot="1" x14ac:dyDescent="0.35">
      <c r="A1" s="34" t="s">
        <v>0</v>
      </c>
      <c r="B1" s="15">
        <v>45902</v>
      </c>
      <c r="C1" s="15">
        <v>45916</v>
      </c>
      <c r="D1" s="16">
        <v>45923</v>
      </c>
      <c r="E1" s="23">
        <v>45930</v>
      </c>
      <c r="F1" s="23">
        <v>45937</v>
      </c>
      <c r="G1" s="22">
        <v>45937</v>
      </c>
      <c r="H1" s="23">
        <v>45944</v>
      </c>
      <c r="I1" s="26">
        <v>45951</v>
      </c>
      <c r="J1" s="26">
        <v>45958</v>
      </c>
      <c r="K1" s="26">
        <v>45972</v>
      </c>
      <c r="L1" s="26">
        <v>45979</v>
      </c>
      <c r="M1" s="26">
        <v>45986</v>
      </c>
      <c r="N1" s="26">
        <v>45993</v>
      </c>
      <c r="O1" s="26">
        <v>46000</v>
      </c>
      <c r="P1" s="26">
        <v>46007</v>
      </c>
    </row>
    <row r="2" spans="1:16" ht="15" thickTop="1" x14ac:dyDescent="0.3">
      <c r="A2" s="83" t="s">
        <v>41</v>
      </c>
      <c r="B2" s="85"/>
      <c r="C2" s="85" t="s">
        <v>73</v>
      </c>
      <c r="D2" s="86" t="s">
        <v>78</v>
      </c>
      <c r="E2" s="76" t="s">
        <v>85</v>
      </c>
      <c r="F2" s="76" t="s">
        <v>93</v>
      </c>
      <c r="G2" s="79" t="s">
        <v>99</v>
      </c>
      <c r="H2" s="76" t="s">
        <v>74</v>
      </c>
      <c r="I2" s="77" t="s">
        <v>127</v>
      </c>
      <c r="J2" s="77"/>
      <c r="K2" s="77" t="s">
        <v>73</v>
      </c>
      <c r="L2" s="80" t="s">
        <v>134</v>
      </c>
      <c r="M2" s="77" t="s">
        <v>73</v>
      </c>
      <c r="N2" s="77" t="s">
        <v>129</v>
      </c>
      <c r="O2" s="77"/>
      <c r="P2" s="77"/>
    </row>
    <row r="3" spans="1:16" x14ac:dyDescent="0.3">
      <c r="A3" s="84" t="s">
        <v>42</v>
      </c>
      <c r="B3" s="85"/>
      <c r="C3" s="85" t="s">
        <v>74</v>
      </c>
      <c r="D3" s="86" t="s">
        <v>74</v>
      </c>
      <c r="E3" s="76" t="s">
        <v>74</v>
      </c>
      <c r="F3" s="76" t="s">
        <v>74</v>
      </c>
      <c r="G3" s="79" t="s">
        <v>74</v>
      </c>
      <c r="H3" s="76" t="s">
        <v>74</v>
      </c>
      <c r="I3" s="77" t="s">
        <v>74</v>
      </c>
      <c r="J3" s="77" t="s">
        <v>74</v>
      </c>
      <c r="K3" s="77" t="s">
        <v>74</v>
      </c>
      <c r="L3" s="80" t="s">
        <v>74</v>
      </c>
      <c r="M3" s="77" t="s">
        <v>74</v>
      </c>
      <c r="N3" s="77" t="s">
        <v>74</v>
      </c>
      <c r="O3" s="77"/>
      <c r="P3" s="77"/>
    </row>
    <row r="4" spans="1:16" x14ac:dyDescent="0.3">
      <c r="A4" s="84" t="s">
        <v>39</v>
      </c>
      <c r="B4" s="85"/>
      <c r="C4" s="85" t="s">
        <v>73</v>
      </c>
      <c r="D4" s="86" t="s">
        <v>79</v>
      </c>
      <c r="E4" s="76" t="s">
        <v>73</v>
      </c>
      <c r="F4" s="76" t="s">
        <v>98</v>
      </c>
      <c r="G4" s="79" t="s">
        <v>100</v>
      </c>
      <c r="H4" s="76" t="s">
        <v>117</v>
      </c>
      <c r="I4" s="77" t="s">
        <v>74</v>
      </c>
      <c r="J4" s="77"/>
      <c r="K4" s="77" t="s">
        <v>128</v>
      </c>
      <c r="L4" s="80" t="s">
        <v>74</v>
      </c>
      <c r="M4" s="77" t="s">
        <v>73</v>
      </c>
      <c r="N4" s="82" t="s">
        <v>74</v>
      </c>
      <c r="O4" s="77"/>
      <c r="P4" s="77"/>
    </row>
    <row r="5" spans="1:16" x14ac:dyDescent="0.3">
      <c r="A5" s="84" t="s">
        <v>43</v>
      </c>
      <c r="B5" s="85"/>
      <c r="C5" s="85" t="s">
        <v>73</v>
      </c>
      <c r="D5" s="86" t="s">
        <v>80</v>
      </c>
      <c r="E5" s="76" t="s">
        <v>73</v>
      </c>
      <c r="F5" s="76" t="s">
        <v>73</v>
      </c>
      <c r="G5" s="79" t="s">
        <v>82</v>
      </c>
      <c r="H5" s="76" t="s">
        <v>106</v>
      </c>
      <c r="I5" s="77" t="s">
        <v>118</v>
      </c>
      <c r="J5" s="77"/>
      <c r="K5" s="77" t="s">
        <v>73</v>
      </c>
      <c r="L5" s="80" t="s">
        <v>73</v>
      </c>
      <c r="M5" s="77" t="s">
        <v>73</v>
      </c>
      <c r="N5" s="77" t="s">
        <v>73</v>
      </c>
      <c r="O5" s="77"/>
      <c r="P5" s="77"/>
    </row>
    <row r="6" spans="1:16" x14ac:dyDescent="0.3">
      <c r="A6" s="84" t="s">
        <v>64</v>
      </c>
      <c r="B6" s="85"/>
      <c r="C6" s="85" t="s">
        <v>129</v>
      </c>
      <c r="D6" s="86" t="s">
        <v>130</v>
      </c>
      <c r="E6" s="76" t="s">
        <v>129</v>
      </c>
      <c r="F6" s="76" t="s">
        <v>129</v>
      </c>
      <c r="G6" s="79" t="s">
        <v>129</v>
      </c>
      <c r="H6" s="76" t="s">
        <v>129</v>
      </c>
      <c r="I6" s="77" t="s">
        <v>129</v>
      </c>
      <c r="J6" s="77"/>
      <c r="K6" s="77" t="s">
        <v>81</v>
      </c>
      <c r="L6" s="80" t="s">
        <v>135</v>
      </c>
      <c r="M6" s="77" t="s">
        <v>74</v>
      </c>
      <c r="N6" s="77" t="s">
        <v>74</v>
      </c>
      <c r="O6" s="77"/>
      <c r="P6" s="77"/>
    </row>
    <row r="7" spans="1:16" x14ac:dyDescent="0.3">
      <c r="A7" s="84" t="s">
        <v>45</v>
      </c>
      <c r="B7" s="85"/>
      <c r="C7" s="85" t="s">
        <v>73</v>
      </c>
      <c r="D7" s="86" t="s">
        <v>80</v>
      </c>
      <c r="E7" s="76" t="s">
        <v>86</v>
      </c>
      <c r="F7" s="76" t="s">
        <v>73</v>
      </c>
      <c r="G7" s="79" t="s">
        <v>99</v>
      </c>
      <c r="H7" s="76" t="s">
        <v>105</v>
      </c>
      <c r="I7" s="77" t="s">
        <v>119</v>
      </c>
      <c r="J7" s="77"/>
      <c r="K7" s="77" t="s">
        <v>73</v>
      </c>
      <c r="L7" s="80" t="s">
        <v>73</v>
      </c>
      <c r="M7" s="77" t="s">
        <v>73</v>
      </c>
      <c r="N7" s="77" t="s">
        <v>73</v>
      </c>
      <c r="O7" s="77"/>
      <c r="P7" s="77"/>
    </row>
    <row r="8" spans="1:16" x14ac:dyDescent="0.3">
      <c r="A8" s="84" t="s">
        <v>46</v>
      </c>
      <c r="B8" s="85"/>
      <c r="C8" s="85" t="s">
        <v>73</v>
      </c>
      <c r="D8" s="86" t="s">
        <v>80</v>
      </c>
      <c r="E8" s="76" t="s">
        <v>86</v>
      </c>
      <c r="F8" s="76" t="s">
        <v>93</v>
      </c>
      <c r="G8" s="79" t="s">
        <v>73</v>
      </c>
      <c r="H8" s="76" t="s">
        <v>115</v>
      </c>
      <c r="I8" s="77" t="s">
        <v>120</v>
      </c>
      <c r="J8" s="77"/>
      <c r="K8" s="77" t="s">
        <v>73</v>
      </c>
      <c r="L8" s="80" t="s">
        <v>73</v>
      </c>
      <c r="M8" s="77" t="s">
        <v>73</v>
      </c>
      <c r="N8" s="77" t="s">
        <v>73</v>
      </c>
      <c r="O8" s="77"/>
      <c r="P8" s="77"/>
    </row>
    <row r="9" spans="1:16" x14ac:dyDescent="0.3">
      <c r="A9" s="84" t="s">
        <v>47</v>
      </c>
      <c r="B9" s="85"/>
      <c r="C9" s="85" t="s">
        <v>77</v>
      </c>
      <c r="D9" s="86" t="s">
        <v>78</v>
      </c>
      <c r="E9" s="76" t="s">
        <v>92</v>
      </c>
      <c r="F9" s="76" t="s">
        <v>73</v>
      </c>
      <c r="G9" s="79" t="s">
        <v>130</v>
      </c>
      <c r="H9" s="76" t="s">
        <v>107</v>
      </c>
      <c r="I9" s="77" t="s">
        <v>119</v>
      </c>
      <c r="J9" s="77"/>
      <c r="K9" s="77" t="s">
        <v>129</v>
      </c>
      <c r="L9" s="80" t="s">
        <v>73</v>
      </c>
      <c r="M9" s="77" t="s">
        <v>73</v>
      </c>
      <c r="N9" s="77" t="s">
        <v>73</v>
      </c>
      <c r="O9" s="77"/>
      <c r="P9" s="77"/>
    </row>
    <row r="10" spans="1:16" x14ac:dyDescent="0.3">
      <c r="A10" s="84" t="s">
        <v>48</v>
      </c>
      <c r="B10" s="85"/>
      <c r="C10" s="85" t="s">
        <v>73</v>
      </c>
      <c r="D10" s="86" t="s">
        <v>80</v>
      </c>
      <c r="E10" s="76" t="s">
        <v>88</v>
      </c>
      <c r="F10" s="76" t="s">
        <v>73</v>
      </c>
      <c r="G10" s="79" t="s">
        <v>101</v>
      </c>
      <c r="H10" s="76" t="s">
        <v>142</v>
      </c>
      <c r="I10" s="77" t="s">
        <v>121</v>
      </c>
      <c r="J10" s="77"/>
      <c r="K10" s="77" t="s">
        <v>73</v>
      </c>
      <c r="L10" s="80" t="s">
        <v>129</v>
      </c>
      <c r="M10" s="77" t="s">
        <v>73</v>
      </c>
      <c r="N10" s="77" t="s">
        <v>129</v>
      </c>
      <c r="O10" s="77"/>
      <c r="P10" s="77"/>
    </row>
    <row r="11" spans="1:16" x14ac:dyDescent="0.3">
      <c r="A11" s="84" t="s">
        <v>49</v>
      </c>
      <c r="B11" s="85"/>
      <c r="C11" s="85" t="s">
        <v>73</v>
      </c>
      <c r="D11" s="86" t="s">
        <v>80</v>
      </c>
      <c r="E11" s="76" t="s">
        <v>87</v>
      </c>
      <c r="F11" s="76" t="s">
        <v>73</v>
      </c>
      <c r="G11" s="79" t="s">
        <v>101</v>
      </c>
      <c r="H11" s="76" t="s">
        <v>142</v>
      </c>
      <c r="I11" s="77" t="s">
        <v>121</v>
      </c>
      <c r="J11" s="77"/>
      <c r="K11" s="77" t="s">
        <v>73</v>
      </c>
      <c r="L11" s="87" t="s">
        <v>129</v>
      </c>
      <c r="M11" s="77" t="s">
        <v>73</v>
      </c>
      <c r="N11" s="77" t="s">
        <v>129</v>
      </c>
      <c r="O11" s="77"/>
      <c r="P11" s="77"/>
    </row>
    <row r="12" spans="1:16" x14ac:dyDescent="0.3">
      <c r="A12" s="84" t="s">
        <v>50</v>
      </c>
      <c r="B12" s="88"/>
      <c r="C12" s="85" t="s">
        <v>73</v>
      </c>
      <c r="D12" s="86" t="s">
        <v>80</v>
      </c>
      <c r="E12" s="76" t="s">
        <v>73</v>
      </c>
      <c r="F12" s="76" t="s">
        <v>93</v>
      </c>
      <c r="G12" s="79" t="s">
        <v>73</v>
      </c>
      <c r="H12" s="76" t="s">
        <v>108</v>
      </c>
      <c r="I12" s="77" t="s">
        <v>119</v>
      </c>
      <c r="J12" s="77"/>
      <c r="K12" s="77" t="s">
        <v>73</v>
      </c>
      <c r="L12" s="80" t="s">
        <v>73</v>
      </c>
      <c r="M12" s="77" t="s">
        <v>73</v>
      </c>
      <c r="N12" s="77" t="s">
        <v>73</v>
      </c>
      <c r="O12" s="77"/>
      <c r="P12" s="77"/>
    </row>
    <row r="13" spans="1:16" x14ac:dyDescent="0.3">
      <c r="A13" s="84" t="s">
        <v>51</v>
      </c>
      <c r="B13" s="89"/>
      <c r="C13" s="78" t="s">
        <v>73</v>
      </c>
      <c r="D13" s="78" t="s">
        <v>80</v>
      </c>
      <c r="E13" s="78" t="s">
        <v>73</v>
      </c>
      <c r="F13" s="78" t="s">
        <v>93</v>
      </c>
      <c r="G13" s="78" t="s">
        <v>73</v>
      </c>
      <c r="H13" s="78" t="s">
        <v>109</v>
      </c>
      <c r="I13" s="78" t="s">
        <v>119</v>
      </c>
      <c r="J13" s="78"/>
      <c r="K13" s="78" t="s">
        <v>73</v>
      </c>
      <c r="L13" s="80" t="s">
        <v>73</v>
      </c>
      <c r="M13" s="78" t="s">
        <v>73</v>
      </c>
      <c r="N13" s="78" t="s">
        <v>73</v>
      </c>
      <c r="O13" s="78"/>
      <c r="P13" s="78"/>
    </row>
    <row r="14" spans="1:16" x14ac:dyDescent="0.3">
      <c r="A14" s="84" t="s">
        <v>52</v>
      </c>
      <c r="B14" s="89"/>
      <c r="C14" s="78" t="s">
        <v>73</v>
      </c>
      <c r="D14" s="78" t="s">
        <v>78</v>
      </c>
      <c r="E14" s="78" t="s">
        <v>89</v>
      </c>
      <c r="F14" s="78" t="s">
        <v>94</v>
      </c>
      <c r="G14" s="78" t="s">
        <v>101</v>
      </c>
      <c r="H14" s="78" t="s">
        <v>110</v>
      </c>
      <c r="I14" s="78" t="s">
        <v>122</v>
      </c>
      <c r="J14" s="78"/>
      <c r="K14" s="78" t="s">
        <v>73</v>
      </c>
      <c r="L14" s="78" t="s">
        <v>136</v>
      </c>
      <c r="M14" s="78" t="s">
        <v>73</v>
      </c>
      <c r="N14" s="78" t="s">
        <v>141</v>
      </c>
      <c r="O14" s="78"/>
      <c r="P14" s="78"/>
    </row>
    <row r="15" spans="1:16" ht="26.4" x14ac:dyDescent="0.3">
      <c r="A15" s="84" t="s">
        <v>53</v>
      </c>
      <c r="B15" s="89"/>
      <c r="C15" s="78" t="s">
        <v>73</v>
      </c>
      <c r="D15" s="78" t="s">
        <v>82</v>
      </c>
      <c r="E15" s="78" t="s">
        <v>73</v>
      </c>
      <c r="F15" s="78" t="s">
        <v>73</v>
      </c>
      <c r="G15" s="78" t="s">
        <v>73</v>
      </c>
      <c r="H15" s="78" t="s">
        <v>111</v>
      </c>
      <c r="I15" s="78" t="s">
        <v>129</v>
      </c>
      <c r="J15" s="78" t="s">
        <v>129</v>
      </c>
      <c r="K15" s="78" t="s">
        <v>129</v>
      </c>
      <c r="L15" s="78" t="s">
        <v>129</v>
      </c>
      <c r="M15" s="78" t="s">
        <v>73</v>
      </c>
      <c r="N15" s="78" t="s">
        <v>73</v>
      </c>
      <c r="O15" s="78"/>
      <c r="P15" s="78"/>
    </row>
    <row r="16" spans="1:16" x14ac:dyDescent="0.3">
      <c r="A16" s="84" t="s">
        <v>54</v>
      </c>
      <c r="B16" s="89"/>
      <c r="C16" s="78" t="s">
        <v>73</v>
      </c>
      <c r="D16" s="78" t="s">
        <v>74</v>
      </c>
      <c r="E16" s="78" t="s">
        <v>74</v>
      </c>
      <c r="F16" s="78" t="s">
        <v>74</v>
      </c>
      <c r="G16" s="78" t="s">
        <v>74</v>
      </c>
      <c r="H16" s="78" t="s">
        <v>74</v>
      </c>
      <c r="I16" s="78" t="s">
        <v>74</v>
      </c>
      <c r="J16" s="78"/>
      <c r="K16" s="78" t="s">
        <v>74</v>
      </c>
      <c r="L16" s="78" t="s">
        <v>74</v>
      </c>
      <c r="M16" s="78" t="s">
        <v>74</v>
      </c>
      <c r="N16" s="78" t="s">
        <v>74</v>
      </c>
      <c r="O16" s="78"/>
      <c r="P16" s="78"/>
    </row>
    <row r="17" spans="1:16" x14ac:dyDescent="0.3">
      <c r="A17" s="84" t="s">
        <v>55</v>
      </c>
      <c r="B17" s="137"/>
      <c r="C17" s="138" t="s">
        <v>73</v>
      </c>
      <c r="D17" s="138" t="s">
        <v>80</v>
      </c>
      <c r="E17" s="138" t="s">
        <v>86</v>
      </c>
      <c r="F17" s="138" t="s">
        <v>95</v>
      </c>
      <c r="G17" s="138" t="s">
        <v>102</v>
      </c>
      <c r="H17" s="138" t="s">
        <v>112</v>
      </c>
      <c r="I17" s="138" t="s">
        <v>123</v>
      </c>
      <c r="J17" s="138"/>
      <c r="K17" s="138" t="s">
        <v>131</v>
      </c>
      <c r="L17" s="138" t="s">
        <v>134</v>
      </c>
      <c r="M17" s="138" t="s">
        <v>73</v>
      </c>
      <c r="N17" s="138" t="s">
        <v>73</v>
      </c>
      <c r="O17" s="138"/>
      <c r="P17" s="138"/>
    </row>
    <row r="18" spans="1:16" x14ac:dyDescent="0.3">
      <c r="A18" s="84" t="s">
        <v>56</v>
      </c>
      <c r="B18" s="137"/>
      <c r="C18" s="138" t="s">
        <v>74</v>
      </c>
      <c r="D18" s="138" t="s">
        <v>83</v>
      </c>
      <c r="E18" s="138" t="s">
        <v>90</v>
      </c>
      <c r="F18" s="138" t="s">
        <v>97</v>
      </c>
      <c r="G18" s="138" t="s">
        <v>103</v>
      </c>
      <c r="H18" s="138" t="s">
        <v>114</v>
      </c>
      <c r="I18" s="138" t="s">
        <v>126</v>
      </c>
      <c r="J18" s="138"/>
      <c r="K18" s="138" t="s">
        <v>73</v>
      </c>
      <c r="L18" s="138" t="s">
        <v>129</v>
      </c>
      <c r="M18" s="138" t="s">
        <v>73</v>
      </c>
      <c r="N18" s="138" t="s">
        <v>74</v>
      </c>
      <c r="O18" s="138"/>
      <c r="P18" s="138"/>
    </row>
    <row r="19" spans="1:16" x14ac:dyDescent="0.3">
      <c r="A19" s="84" t="s">
        <v>57</v>
      </c>
      <c r="B19" s="137"/>
      <c r="C19" s="138" t="s">
        <v>75</v>
      </c>
      <c r="D19" s="138" t="s">
        <v>80</v>
      </c>
      <c r="E19" s="138" t="s">
        <v>86</v>
      </c>
      <c r="F19" s="138" t="s">
        <v>73</v>
      </c>
      <c r="G19" s="138" t="s">
        <v>99</v>
      </c>
      <c r="H19" s="138" t="s">
        <v>113</v>
      </c>
      <c r="I19" s="138" t="s">
        <v>124</v>
      </c>
      <c r="J19" s="138"/>
      <c r="K19" s="138" t="s">
        <v>73</v>
      </c>
      <c r="L19" s="138" t="s">
        <v>137</v>
      </c>
      <c r="M19" s="138" t="s">
        <v>73</v>
      </c>
      <c r="N19" s="138" t="s">
        <v>73</v>
      </c>
      <c r="O19" s="138"/>
      <c r="P19" s="138"/>
    </row>
    <row r="20" spans="1:16" x14ac:dyDescent="0.3">
      <c r="A20" s="84" t="s">
        <v>58</v>
      </c>
      <c r="B20" s="137"/>
      <c r="C20" s="138" t="s">
        <v>73</v>
      </c>
      <c r="D20" s="138" t="s">
        <v>84</v>
      </c>
      <c r="E20" s="138" t="s">
        <v>74</v>
      </c>
      <c r="F20" s="138" t="s">
        <v>96</v>
      </c>
      <c r="G20" s="138" t="s">
        <v>81</v>
      </c>
      <c r="H20" s="138" t="s">
        <v>74</v>
      </c>
      <c r="I20" s="138" t="s">
        <v>74</v>
      </c>
      <c r="J20" s="138" t="s">
        <v>74</v>
      </c>
      <c r="K20" s="138" t="s">
        <v>74</v>
      </c>
      <c r="L20" s="138" t="s">
        <v>74</v>
      </c>
      <c r="M20" s="138" t="s">
        <v>74</v>
      </c>
      <c r="N20" s="138" t="s">
        <v>74</v>
      </c>
      <c r="O20" s="138"/>
      <c r="P20" s="138"/>
    </row>
    <row r="21" spans="1:16" x14ac:dyDescent="0.3">
      <c r="A21" s="84" t="s">
        <v>59</v>
      </c>
      <c r="B21" s="137"/>
      <c r="C21" s="138" t="s">
        <v>73</v>
      </c>
      <c r="D21" s="138" t="s">
        <v>80</v>
      </c>
      <c r="E21" s="138" t="s">
        <v>91</v>
      </c>
      <c r="F21" s="138" t="s">
        <v>73</v>
      </c>
      <c r="G21" s="138" t="s">
        <v>104</v>
      </c>
      <c r="H21" s="138" t="s">
        <v>116</v>
      </c>
      <c r="I21" s="138" t="s">
        <v>125</v>
      </c>
      <c r="J21" s="138"/>
      <c r="K21" s="138" t="s">
        <v>131</v>
      </c>
      <c r="L21" s="138" t="s">
        <v>137</v>
      </c>
      <c r="M21" s="138" t="s">
        <v>73</v>
      </c>
      <c r="N21" s="138" t="s">
        <v>129</v>
      </c>
      <c r="O21" s="138"/>
      <c r="P21" s="138"/>
    </row>
    <row r="22" spans="1:16" x14ac:dyDescent="0.3">
      <c r="A22" s="84" t="s">
        <v>60</v>
      </c>
      <c r="B22" s="137"/>
      <c r="C22" s="138" t="s">
        <v>76</v>
      </c>
      <c r="D22" s="138" t="s">
        <v>139</v>
      </c>
      <c r="E22" s="138" t="s">
        <v>140</v>
      </c>
      <c r="F22" s="138" t="s">
        <v>129</v>
      </c>
      <c r="G22" s="138" t="s">
        <v>129</v>
      </c>
      <c r="H22" s="138" t="s">
        <v>129</v>
      </c>
      <c r="I22" s="138" t="s">
        <v>81</v>
      </c>
      <c r="J22" s="138"/>
      <c r="K22" s="138" t="s">
        <v>132</v>
      </c>
      <c r="L22" s="138" t="s">
        <v>138</v>
      </c>
      <c r="M22" s="138" t="s">
        <v>73</v>
      </c>
      <c r="N22" s="138" t="s">
        <v>81</v>
      </c>
      <c r="O22" s="138"/>
      <c r="P22" s="138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workbookViewId="0">
      <pane xSplit="1" topLeftCell="B1" activePane="topRight" state="frozen"/>
      <selection activeCell="U14" sqref="U14"/>
      <selection pane="topRight" activeCell="P11" sqref="P11"/>
    </sheetView>
  </sheetViews>
  <sheetFormatPr defaultRowHeight="14.4" x14ac:dyDescent="0.3"/>
  <cols>
    <col min="1" max="1" width="31.77734375" customWidth="1"/>
    <col min="2" max="2" width="4.5546875" customWidth="1"/>
    <col min="3" max="3" width="5.109375" customWidth="1"/>
    <col min="4" max="6" width="4.5546875" customWidth="1"/>
    <col min="7" max="7" width="3.6640625" customWidth="1"/>
    <col min="8" max="9" width="4.33203125" customWidth="1"/>
    <col min="10" max="10" width="3.77734375" customWidth="1"/>
    <col min="11" max="11" width="4.21875" customWidth="1"/>
    <col min="12" max="12" width="4" customWidth="1"/>
    <col min="13" max="13" width="4.21875" customWidth="1"/>
    <col min="14" max="14" width="4" customWidth="1"/>
    <col min="15" max="15" width="3.77734375" customWidth="1"/>
    <col min="16" max="16" width="3.33203125" customWidth="1"/>
    <col min="17" max="17" width="4.33203125" customWidth="1"/>
    <col min="18" max="18" width="4.6640625" customWidth="1"/>
    <col min="19" max="19" width="4.5546875" customWidth="1"/>
    <col min="20" max="20" width="4.44140625" customWidth="1"/>
    <col min="21" max="21" width="4.21875" customWidth="1"/>
    <col min="22" max="22" width="4.5546875" customWidth="1"/>
    <col min="23" max="23" width="4.88671875" customWidth="1"/>
    <col min="24" max="24" width="4.5546875" customWidth="1"/>
    <col min="25" max="25" width="4.44140625" customWidth="1"/>
    <col min="26" max="26" width="4.21875" customWidth="1"/>
  </cols>
  <sheetData>
    <row r="1" spans="1:26" x14ac:dyDescent="0.3">
      <c r="A1" s="17" t="s">
        <v>0</v>
      </c>
      <c r="B1" s="201" t="s">
        <v>1</v>
      </c>
      <c r="C1" s="201"/>
      <c r="D1" s="201"/>
      <c r="E1" s="201"/>
      <c r="F1" s="201"/>
      <c r="G1" s="202" t="s">
        <v>2</v>
      </c>
      <c r="H1" s="201"/>
      <c r="I1" s="201"/>
      <c r="J1" s="201"/>
      <c r="K1" s="203"/>
      <c r="L1" s="201" t="s">
        <v>3</v>
      </c>
      <c r="M1" s="201"/>
      <c r="N1" s="201"/>
      <c r="O1" s="201"/>
      <c r="P1" s="204"/>
      <c r="Q1" s="202" t="s">
        <v>4</v>
      </c>
      <c r="R1" s="201"/>
      <c r="S1" s="201"/>
      <c r="T1" s="201"/>
      <c r="U1" s="203"/>
      <c r="V1" s="202" t="s">
        <v>5</v>
      </c>
      <c r="W1" s="201"/>
      <c r="X1" s="201"/>
      <c r="Y1" s="201"/>
      <c r="Z1" s="203"/>
    </row>
    <row r="2" spans="1:26" ht="15" thickBot="1" x14ac:dyDescent="0.35">
      <c r="A2" s="18"/>
      <c r="B2" s="20">
        <v>1</v>
      </c>
      <c r="C2" s="21">
        <v>2</v>
      </c>
      <c r="D2" s="21">
        <v>3</v>
      </c>
      <c r="E2" s="21">
        <v>4</v>
      </c>
      <c r="F2" s="19">
        <v>5</v>
      </c>
      <c r="G2" s="28">
        <v>1</v>
      </c>
      <c r="H2" s="21">
        <v>2</v>
      </c>
      <c r="I2" s="21">
        <v>3</v>
      </c>
      <c r="J2" s="21">
        <v>4</v>
      </c>
      <c r="K2" s="29">
        <v>5</v>
      </c>
      <c r="L2" s="20">
        <v>1</v>
      </c>
      <c r="M2" s="21">
        <v>2</v>
      </c>
      <c r="N2" s="21">
        <v>3</v>
      </c>
      <c r="O2" s="21">
        <v>4</v>
      </c>
      <c r="P2" s="21">
        <v>5</v>
      </c>
      <c r="Q2" s="28">
        <v>1</v>
      </c>
      <c r="R2" s="21">
        <v>2</v>
      </c>
      <c r="S2" s="21">
        <v>3</v>
      </c>
      <c r="T2" s="21">
        <v>4</v>
      </c>
      <c r="U2" s="29">
        <v>5</v>
      </c>
      <c r="V2" s="28">
        <v>1</v>
      </c>
      <c r="W2" s="21">
        <v>2</v>
      </c>
      <c r="X2" s="21">
        <v>3</v>
      </c>
      <c r="Y2" s="21">
        <v>4</v>
      </c>
      <c r="Z2" s="29">
        <v>5</v>
      </c>
    </row>
    <row r="3" spans="1:26" ht="15" thickTop="1" x14ac:dyDescent="0.3">
      <c r="A3" s="83" t="s">
        <v>41</v>
      </c>
      <c r="B3" s="130">
        <v>18</v>
      </c>
      <c r="C3" s="131">
        <v>14</v>
      </c>
      <c r="D3" s="131">
        <v>21</v>
      </c>
      <c r="E3" s="131">
        <v>22</v>
      </c>
      <c r="F3" s="132">
        <v>10</v>
      </c>
      <c r="G3" s="121"/>
      <c r="H3" s="118"/>
      <c r="I3" s="118"/>
      <c r="J3" s="118"/>
      <c r="K3" s="119"/>
      <c r="L3" s="120" t="s">
        <v>61</v>
      </c>
      <c r="M3" s="118" t="s">
        <v>73</v>
      </c>
      <c r="N3" s="118" t="s">
        <v>61</v>
      </c>
      <c r="O3" s="118" t="s">
        <v>61</v>
      </c>
      <c r="P3" s="118" t="s">
        <v>61</v>
      </c>
      <c r="Q3" s="121"/>
      <c r="R3" s="118"/>
      <c r="S3" s="118"/>
      <c r="T3" s="118"/>
      <c r="U3" s="119"/>
      <c r="V3" s="121"/>
      <c r="W3" s="118"/>
      <c r="X3" s="118"/>
      <c r="Y3" s="118"/>
      <c r="Z3" s="119"/>
    </row>
    <row r="4" spans="1:26" x14ac:dyDescent="0.3">
      <c r="A4" s="84" t="s">
        <v>42</v>
      </c>
      <c r="B4" s="133">
        <v>7</v>
      </c>
      <c r="C4" s="77">
        <v>25</v>
      </c>
      <c r="D4" s="77">
        <v>20</v>
      </c>
      <c r="E4" s="77">
        <v>2</v>
      </c>
      <c r="F4" s="97">
        <v>24</v>
      </c>
      <c r="G4" s="125"/>
      <c r="H4" s="122"/>
      <c r="I4" s="122"/>
      <c r="J4" s="122"/>
      <c r="K4" s="123"/>
      <c r="L4" s="124"/>
      <c r="M4" s="122"/>
      <c r="N4" s="122"/>
      <c r="O4" s="122"/>
      <c r="P4" s="122"/>
      <c r="Q4" s="125"/>
      <c r="R4" s="122"/>
      <c r="S4" s="122"/>
      <c r="T4" s="122"/>
      <c r="U4" s="123"/>
      <c r="V4" s="125"/>
      <c r="W4" s="122"/>
      <c r="X4" s="122"/>
      <c r="Y4" s="122"/>
      <c r="Z4" s="123"/>
    </row>
    <row r="5" spans="1:26" x14ac:dyDescent="0.3">
      <c r="A5" s="84" t="s">
        <v>39</v>
      </c>
      <c r="B5" s="133">
        <v>1</v>
      </c>
      <c r="C5" s="77">
        <v>19</v>
      </c>
      <c r="D5" s="77">
        <v>1</v>
      </c>
      <c r="E5" s="77">
        <v>30</v>
      </c>
      <c r="F5" s="97">
        <v>4</v>
      </c>
      <c r="G5" s="155" t="s">
        <v>61</v>
      </c>
      <c r="H5" s="156" t="s">
        <v>61</v>
      </c>
      <c r="I5" s="156" t="s">
        <v>61</v>
      </c>
      <c r="J5" s="156" t="s">
        <v>61</v>
      </c>
      <c r="K5" s="157" t="s">
        <v>61</v>
      </c>
      <c r="L5" s="124" t="s">
        <v>61</v>
      </c>
      <c r="M5" s="122"/>
      <c r="N5" s="122" t="s">
        <v>73</v>
      </c>
      <c r="O5" s="122" t="s">
        <v>61</v>
      </c>
      <c r="P5" s="122" t="s">
        <v>61</v>
      </c>
      <c r="Q5" s="125"/>
      <c r="R5" s="122"/>
      <c r="S5" s="122"/>
      <c r="T5" s="122"/>
      <c r="U5" s="123"/>
      <c r="V5" s="125"/>
      <c r="W5" s="122"/>
      <c r="X5" s="122"/>
      <c r="Y5" s="122"/>
      <c r="Z5" s="123"/>
    </row>
    <row r="6" spans="1:26" x14ac:dyDescent="0.3">
      <c r="A6" s="84" t="s">
        <v>43</v>
      </c>
      <c r="B6" s="133">
        <v>13</v>
      </c>
      <c r="C6" s="77">
        <v>30</v>
      </c>
      <c r="D6" s="77">
        <v>13</v>
      </c>
      <c r="E6" s="77">
        <v>12</v>
      </c>
      <c r="F6" s="97">
        <v>1</v>
      </c>
      <c r="G6" s="155" t="s">
        <v>61</v>
      </c>
      <c r="H6" s="156" t="s">
        <v>133</v>
      </c>
      <c r="I6" s="156" t="s">
        <v>61</v>
      </c>
      <c r="J6" s="156" t="s">
        <v>63</v>
      </c>
      <c r="K6" s="157" t="s">
        <v>61</v>
      </c>
      <c r="L6" s="158" t="s">
        <v>61</v>
      </c>
      <c r="M6" s="156" t="s">
        <v>63</v>
      </c>
      <c r="N6" s="156" t="s">
        <v>133</v>
      </c>
      <c r="O6" s="156" t="s">
        <v>61</v>
      </c>
      <c r="P6" s="156" t="s">
        <v>61</v>
      </c>
      <c r="Q6" s="125"/>
      <c r="R6" s="122"/>
      <c r="S6" s="122"/>
      <c r="T6" s="122"/>
      <c r="U6" s="123"/>
      <c r="V6" s="125"/>
      <c r="W6" s="122"/>
      <c r="X6" s="122"/>
      <c r="Y6" s="122"/>
      <c r="Z6" s="123"/>
    </row>
    <row r="7" spans="1:26" x14ac:dyDescent="0.3">
      <c r="A7" s="84" t="s">
        <v>64</v>
      </c>
      <c r="B7" s="133">
        <v>8</v>
      </c>
      <c r="C7" s="77">
        <v>10</v>
      </c>
      <c r="D7" s="77">
        <v>23</v>
      </c>
      <c r="E7" s="77">
        <v>21</v>
      </c>
      <c r="F7" s="97">
        <v>8</v>
      </c>
      <c r="G7" s="125"/>
      <c r="H7" s="122"/>
      <c r="I7" s="122"/>
      <c r="J7" s="122"/>
      <c r="K7" s="123"/>
      <c r="L7" s="124"/>
      <c r="M7" s="122"/>
      <c r="N7" s="122"/>
      <c r="O7" s="122"/>
      <c r="P7" s="122"/>
      <c r="Q7" s="125"/>
      <c r="R7" s="122"/>
      <c r="S7" s="122"/>
      <c r="T7" s="122"/>
      <c r="U7" s="123"/>
      <c r="V7" s="125"/>
      <c r="W7" s="122"/>
      <c r="X7" s="122"/>
      <c r="Y7" s="122"/>
      <c r="Z7" s="123"/>
    </row>
    <row r="8" spans="1:26" x14ac:dyDescent="0.3">
      <c r="A8" s="84" t="s">
        <v>45</v>
      </c>
      <c r="B8" s="133">
        <v>19</v>
      </c>
      <c r="C8" s="77">
        <v>24</v>
      </c>
      <c r="D8" s="77">
        <v>3</v>
      </c>
      <c r="E8" s="77">
        <v>24</v>
      </c>
      <c r="F8" s="97">
        <v>27</v>
      </c>
      <c r="G8" s="155" t="s">
        <v>67</v>
      </c>
      <c r="H8" s="156" t="s">
        <v>61</v>
      </c>
      <c r="I8" s="156" t="s">
        <v>61</v>
      </c>
      <c r="J8" s="156" t="s">
        <v>145</v>
      </c>
      <c r="K8" s="157" t="s">
        <v>61</v>
      </c>
      <c r="L8" s="158" t="s">
        <v>61</v>
      </c>
      <c r="M8" s="156" t="s">
        <v>146</v>
      </c>
      <c r="N8" s="156" t="s">
        <v>133</v>
      </c>
      <c r="O8" s="156" t="s">
        <v>61</v>
      </c>
      <c r="P8" s="156" t="s">
        <v>61</v>
      </c>
      <c r="Q8" s="125"/>
      <c r="R8" s="122"/>
      <c r="S8" s="122"/>
      <c r="T8" s="122"/>
      <c r="U8" s="123"/>
      <c r="V8" s="125"/>
      <c r="W8" s="122"/>
      <c r="X8" s="122"/>
      <c r="Y8" s="122"/>
      <c r="Z8" s="123"/>
    </row>
    <row r="9" spans="1:26" x14ac:dyDescent="0.3">
      <c r="A9" s="84" t="s">
        <v>46</v>
      </c>
      <c r="B9" s="133">
        <v>2</v>
      </c>
      <c r="C9" s="77">
        <v>18</v>
      </c>
      <c r="D9" s="77">
        <v>26</v>
      </c>
      <c r="E9" s="77">
        <v>29</v>
      </c>
      <c r="F9" s="97">
        <v>30</v>
      </c>
      <c r="G9" s="155" t="s">
        <v>133</v>
      </c>
      <c r="H9" s="156" t="s">
        <v>143</v>
      </c>
      <c r="I9" s="156" t="s">
        <v>133</v>
      </c>
      <c r="J9" s="156" t="s">
        <v>61</v>
      </c>
      <c r="K9" s="157" t="s">
        <v>61</v>
      </c>
      <c r="L9" s="158" t="s">
        <v>61</v>
      </c>
      <c r="M9" s="156" t="s">
        <v>63</v>
      </c>
      <c r="N9" s="156" t="s">
        <v>61</v>
      </c>
      <c r="O9" s="156" t="s">
        <v>63</v>
      </c>
      <c r="P9" s="156" t="s">
        <v>61</v>
      </c>
      <c r="Q9" s="125"/>
      <c r="R9" s="122"/>
      <c r="S9" s="122"/>
      <c r="T9" s="122"/>
      <c r="U9" s="123"/>
      <c r="V9" s="125"/>
      <c r="W9" s="122"/>
      <c r="X9" s="122"/>
      <c r="Y9" s="122"/>
      <c r="Z9" s="123"/>
    </row>
    <row r="10" spans="1:26" x14ac:dyDescent="0.3">
      <c r="A10" s="84" t="s">
        <v>47</v>
      </c>
      <c r="B10" s="133">
        <v>14</v>
      </c>
      <c r="C10" s="77">
        <v>29</v>
      </c>
      <c r="D10" s="77">
        <v>15</v>
      </c>
      <c r="E10" s="77">
        <v>4</v>
      </c>
      <c r="F10" s="97">
        <v>23</v>
      </c>
      <c r="G10" s="125" t="s">
        <v>61</v>
      </c>
      <c r="H10" s="122" t="s">
        <v>73</v>
      </c>
      <c r="I10" s="122"/>
      <c r="J10" s="122" t="s">
        <v>61</v>
      </c>
      <c r="K10" s="123" t="s">
        <v>61</v>
      </c>
      <c r="L10" s="124" t="s">
        <v>61</v>
      </c>
      <c r="M10" s="122"/>
      <c r="N10" s="122" t="s">
        <v>61</v>
      </c>
      <c r="O10" s="122" t="s">
        <v>61</v>
      </c>
      <c r="P10" s="122" t="s">
        <v>61</v>
      </c>
      <c r="Q10" s="125"/>
      <c r="R10" s="122"/>
      <c r="S10" s="122"/>
      <c r="T10" s="122"/>
      <c r="U10" s="123"/>
      <c r="V10" s="125"/>
      <c r="W10" s="122"/>
      <c r="X10" s="122"/>
      <c r="Y10" s="122"/>
      <c r="Z10" s="123"/>
    </row>
    <row r="11" spans="1:26" x14ac:dyDescent="0.3">
      <c r="A11" s="84" t="s">
        <v>48</v>
      </c>
      <c r="B11" s="133">
        <v>9</v>
      </c>
      <c r="C11" s="77">
        <v>13</v>
      </c>
      <c r="D11" s="77">
        <v>5</v>
      </c>
      <c r="E11" s="77">
        <v>19</v>
      </c>
      <c r="F11" s="97">
        <v>21</v>
      </c>
      <c r="G11" s="125" t="s">
        <v>61</v>
      </c>
      <c r="H11" s="122" t="s">
        <v>63</v>
      </c>
      <c r="I11" s="122"/>
      <c r="J11" s="122" t="s">
        <v>61</v>
      </c>
      <c r="K11" s="123" t="s">
        <v>61</v>
      </c>
      <c r="L11" s="124"/>
      <c r="M11" s="122"/>
      <c r="N11" s="122"/>
      <c r="O11" s="122"/>
      <c r="P11" s="122"/>
      <c r="Q11" s="125"/>
      <c r="R11" s="122"/>
      <c r="S11" s="122"/>
      <c r="T11" s="122"/>
      <c r="U11" s="123"/>
      <c r="V11" s="125"/>
      <c r="W11" s="122"/>
      <c r="X11" s="122"/>
      <c r="Y11" s="122"/>
      <c r="Z11" s="123"/>
    </row>
    <row r="12" spans="1:26" x14ac:dyDescent="0.3">
      <c r="A12" s="84" t="s">
        <v>49</v>
      </c>
      <c r="B12" s="133">
        <v>3</v>
      </c>
      <c r="C12" s="77">
        <v>23</v>
      </c>
      <c r="D12" s="77">
        <v>25</v>
      </c>
      <c r="E12" s="77">
        <v>14</v>
      </c>
      <c r="F12" s="97">
        <v>5</v>
      </c>
      <c r="G12" s="125" t="s">
        <v>133</v>
      </c>
      <c r="H12" s="122" t="s">
        <v>144</v>
      </c>
      <c r="I12" s="122" t="s">
        <v>73</v>
      </c>
      <c r="J12" s="122" t="s">
        <v>61</v>
      </c>
      <c r="K12" s="123" t="s">
        <v>61</v>
      </c>
      <c r="L12" s="124"/>
      <c r="M12" s="122"/>
      <c r="N12" s="122"/>
      <c r="O12" s="122"/>
      <c r="P12" s="122"/>
      <c r="Q12" s="125"/>
      <c r="R12" s="122"/>
      <c r="S12" s="122"/>
      <c r="T12" s="122"/>
      <c r="U12" s="123"/>
      <c r="V12" s="125"/>
      <c r="W12" s="122"/>
      <c r="X12" s="122"/>
      <c r="Y12" s="122"/>
      <c r="Z12" s="123"/>
    </row>
    <row r="13" spans="1:26" x14ac:dyDescent="0.3">
      <c r="A13" s="84" t="s">
        <v>50</v>
      </c>
      <c r="B13" s="133">
        <v>15</v>
      </c>
      <c r="C13" s="77">
        <v>28</v>
      </c>
      <c r="D13" s="77">
        <v>24</v>
      </c>
      <c r="E13" s="77">
        <v>27</v>
      </c>
      <c r="F13" s="97">
        <v>2</v>
      </c>
      <c r="G13" s="155" t="s">
        <v>61</v>
      </c>
      <c r="H13" s="156" t="s">
        <v>61</v>
      </c>
      <c r="I13" s="156" t="s">
        <v>133</v>
      </c>
      <c r="J13" s="156" t="s">
        <v>133</v>
      </c>
      <c r="K13" s="157" t="s">
        <v>61</v>
      </c>
      <c r="L13" s="159" t="s">
        <v>61</v>
      </c>
      <c r="M13" s="160" t="s">
        <v>133</v>
      </c>
      <c r="N13" s="160" t="s">
        <v>61</v>
      </c>
      <c r="O13" s="160" t="s">
        <v>61</v>
      </c>
      <c r="P13" s="160" t="s">
        <v>61</v>
      </c>
      <c r="Q13" s="125"/>
      <c r="R13" s="122"/>
      <c r="S13" s="122"/>
      <c r="T13" s="122"/>
      <c r="U13" s="123"/>
      <c r="V13" s="125"/>
      <c r="W13" s="122"/>
      <c r="X13" s="122"/>
      <c r="Y13" s="122"/>
      <c r="Z13" s="123"/>
    </row>
    <row r="14" spans="1:26" x14ac:dyDescent="0.3">
      <c r="A14" s="84" t="s">
        <v>51</v>
      </c>
      <c r="B14" s="133">
        <v>10</v>
      </c>
      <c r="C14" s="77">
        <v>17</v>
      </c>
      <c r="D14" s="77">
        <v>7</v>
      </c>
      <c r="E14" s="77">
        <v>26</v>
      </c>
      <c r="F14" s="97">
        <v>9</v>
      </c>
      <c r="G14" s="155" t="s">
        <v>61</v>
      </c>
      <c r="H14" s="156" t="s">
        <v>133</v>
      </c>
      <c r="I14" s="156" t="s">
        <v>133</v>
      </c>
      <c r="J14" s="156" t="s">
        <v>133</v>
      </c>
      <c r="K14" s="157" t="s">
        <v>61</v>
      </c>
      <c r="L14" s="158" t="s">
        <v>61</v>
      </c>
      <c r="M14" s="156" t="s">
        <v>133</v>
      </c>
      <c r="N14" s="156" t="s">
        <v>61</v>
      </c>
      <c r="O14" s="156" t="s">
        <v>61</v>
      </c>
      <c r="P14" s="156" t="s">
        <v>61</v>
      </c>
      <c r="Q14" s="125"/>
      <c r="R14" s="122"/>
      <c r="S14" s="122"/>
      <c r="T14" s="122"/>
      <c r="U14" s="123"/>
      <c r="V14" s="125"/>
      <c r="W14" s="122"/>
      <c r="X14" s="122"/>
      <c r="Y14" s="122"/>
      <c r="Z14" s="123"/>
    </row>
    <row r="15" spans="1:26" x14ac:dyDescent="0.3">
      <c r="A15" s="84" t="s">
        <v>52</v>
      </c>
      <c r="B15" s="133">
        <v>4</v>
      </c>
      <c r="C15" s="77">
        <v>22</v>
      </c>
      <c r="D15" s="77">
        <v>17</v>
      </c>
      <c r="E15" s="77">
        <v>16</v>
      </c>
      <c r="F15" s="97">
        <v>26</v>
      </c>
      <c r="G15" s="125" t="s">
        <v>61</v>
      </c>
      <c r="H15" s="122" t="s">
        <v>73</v>
      </c>
      <c r="I15" s="122" t="s">
        <v>61</v>
      </c>
      <c r="J15" s="122"/>
      <c r="K15" s="123" t="s">
        <v>61</v>
      </c>
      <c r="L15" s="124" t="s">
        <v>61</v>
      </c>
      <c r="M15" s="122" t="s">
        <v>73</v>
      </c>
      <c r="N15" s="122" t="s">
        <v>61</v>
      </c>
      <c r="O15" s="122" t="s">
        <v>61</v>
      </c>
      <c r="P15" s="122" t="s">
        <v>73</v>
      </c>
      <c r="Q15" s="125"/>
      <c r="R15" s="122"/>
      <c r="S15" s="122"/>
      <c r="T15" s="122"/>
      <c r="U15" s="123"/>
      <c r="V15" s="125"/>
      <c r="W15" s="122"/>
      <c r="X15" s="122"/>
      <c r="Y15" s="122"/>
      <c r="Z15" s="123"/>
    </row>
    <row r="16" spans="1:26" ht="26.4" x14ac:dyDescent="0.3">
      <c r="A16" s="84" t="s">
        <v>53</v>
      </c>
      <c r="B16" s="133">
        <v>16</v>
      </c>
      <c r="C16" s="77">
        <v>12</v>
      </c>
      <c r="D16" s="77">
        <v>27</v>
      </c>
      <c r="E16" s="77">
        <v>6</v>
      </c>
      <c r="F16" s="97">
        <v>29</v>
      </c>
      <c r="G16" s="125" t="s">
        <v>73</v>
      </c>
      <c r="H16" s="122"/>
      <c r="I16" s="122"/>
      <c r="J16" s="122"/>
      <c r="K16" s="123"/>
      <c r="L16" s="124"/>
      <c r="M16" s="122"/>
      <c r="N16" s="122"/>
      <c r="O16" s="122"/>
      <c r="P16" s="122"/>
      <c r="Q16" s="125"/>
      <c r="R16" s="122"/>
      <c r="S16" s="122"/>
      <c r="T16" s="122"/>
      <c r="U16" s="123"/>
      <c r="V16" s="125"/>
      <c r="W16" s="122"/>
      <c r="X16" s="122"/>
      <c r="Y16" s="122"/>
      <c r="Z16" s="123"/>
    </row>
    <row r="17" spans="1:26" x14ac:dyDescent="0.3">
      <c r="A17" s="84" t="s">
        <v>54</v>
      </c>
      <c r="B17" s="133">
        <v>11</v>
      </c>
      <c r="C17" s="77">
        <v>27</v>
      </c>
      <c r="D17" s="77">
        <v>22</v>
      </c>
      <c r="E17" s="77">
        <v>25</v>
      </c>
      <c r="F17" s="97">
        <v>6</v>
      </c>
      <c r="G17" s="125"/>
      <c r="H17" s="122"/>
      <c r="I17" s="122"/>
      <c r="J17" s="122"/>
      <c r="K17" s="123"/>
      <c r="L17" s="124"/>
      <c r="M17" s="122"/>
      <c r="N17" s="122"/>
      <c r="O17" s="122"/>
      <c r="P17" s="122"/>
      <c r="Q17" s="125"/>
      <c r="R17" s="122"/>
      <c r="S17" s="122"/>
      <c r="T17" s="122"/>
      <c r="U17" s="123"/>
      <c r="V17" s="125"/>
      <c r="W17" s="122"/>
      <c r="X17" s="122"/>
      <c r="Y17" s="122"/>
      <c r="Z17" s="123"/>
    </row>
    <row r="18" spans="1:26" x14ac:dyDescent="0.3">
      <c r="A18" s="84" t="s">
        <v>55</v>
      </c>
      <c r="B18" s="133">
        <v>21</v>
      </c>
      <c r="C18" s="77">
        <v>16</v>
      </c>
      <c r="D18" s="77">
        <v>9</v>
      </c>
      <c r="E18" s="77">
        <v>18</v>
      </c>
      <c r="F18" s="97">
        <v>11</v>
      </c>
      <c r="G18" s="155" t="s">
        <v>133</v>
      </c>
      <c r="H18" s="156" t="s">
        <v>63</v>
      </c>
      <c r="I18" s="156" t="s">
        <v>63</v>
      </c>
      <c r="J18" s="156" t="s">
        <v>61</v>
      </c>
      <c r="K18" s="157" t="s">
        <v>61</v>
      </c>
      <c r="L18" s="158" t="s">
        <v>61</v>
      </c>
      <c r="M18" s="156" t="s">
        <v>63</v>
      </c>
      <c r="N18" s="156" t="s">
        <v>61</v>
      </c>
      <c r="O18" s="156" t="s">
        <v>61</v>
      </c>
      <c r="P18" s="156" t="s">
        <v>61</v>
      </c>
      <c r="Q18" s="125"/>
      <c r="R18" s="122"/>
      <c r="S18" s="122"/>
      <c r="T18" s="122"/>
      <c r="U18" s="123"/>
      <c r="V18" s="125"/>
      <c r="W18" s="122"/>
      <c r="X18" s="122"/>
      <c r="Y18" s="122"/>
      <c r="Z18" s="123"/>
    </row>
    <row r="19" spans="1:26" x14ac:dyDescent="0.3">
      <c r="A19" s="84" t="s">
        <v>56</v>
      </c>
      <c r="B19" s="133">
        <v>5</v>
      </c>
      <c r="C19" s="77">
        <v>21</v>
      </c>
      <c r="D19" s="77">
        <v>29</v>
      </c>
      <c r="E19" s="77">
        <v>8</v>
      </c>
      <c r="F19" s="97">
        <v>3</v>
      </c>
      <c r="G19" s="125" t="s">
        <v>133</v>
      </c>
      <c r="H19" s="122" t="s">
        <v>73</v>
      </c>
      <c r="I19" s="122" t="s">
        <v>73</v>
      </c>
      <c r="J19" s="122" t="s">
        <v>73</v>
      </c>
      <c r="K19" s="123" t="s">
        <v>61</v>
      </c>
      <c r="L19" s="124"/>
      <c r="M19" s="122"/>
      <c r="N19" s="122"/>
      <c r="O19" s="122"/>
      <c r="P19" s="122"/>
      <c r="Q19" s="125"/>
      <c r="R19" s="122"/>
      <c r="S19" s="122"/>
      <c r="T19" s="122"/>
      <c r="U19" s="123"/>
      <c r="V19" s="125"/>
      <c r="W19" s="122"/>
      <c r="X19" s="122"/>
      <c r="Y19" s="122"/>
      <c r="Z19" s="123"/>
    </row>
    <row r="20" spans="1:26" x14ac:dyDescent="0.3">
      <c r="A20" s="84" t="s">
        <v>57</v>
      </c>
      <c r="B20" s="133">
        <v>12</v>
      </c>
      <c r="C20" s="77">
        <v>26</v>
      </c>
      <c r="D20" s="77">
        <v>19</v>
      </c>
      <c r="E20" s="77">
        <v>28</v>
      </c>
      <c r="F20" s="97">
        <v>25</v>
      </c>
      <c r="G20" s="155" t="s">
        <v>61</v>
      </c>
      <c r="H20" s="156" t="s">
        <v>61</v>
      </c>
      <c r="I20" s="156" t="s">
        <v>61</v>
      </c>
      <c r="J20" s="156" t="s">
        <v>63</v>
      </c>
      <c r="K20" s="157" t="s">
        <v>61</v>
      </c>
      <c r="L20" s="158" t="s">
        <v>61</v>
      </c>
      <c r="M20" s="156" t="s">
        <v>63</v>
      </c>
      <c r="N20" s="156" t="s">
        <v>61</v>
      </c>
      <c r="O20" s="156" t="s">
        <v>61</v>
      </c>
      <c r="P20" s="156" t="s">
        <v>67</v>
      </c>
      <c r="Q20" s="125"/>
      <c r="R20" s="122"/>
      <c r="S20" s="122"/>
      <c r="T20" s="122"/>
      <c r="U20" s="123"/>
      <c r="V20" s="125"/>
      <c r="W20" s="122"/>
      <c r="X20" s="122"/>
      <c r="Y20" s="122"/>
      <c r="Z20" s="123"/>
    </row>
    <row r="21" spans="1:26" x14ac:dyDescent="0.3">
      <c r="A21" s="84" t="s">
        <v>58</v>
      </c>
      <c r="B21" s="133">
        <v>17</v>
      </c>
      <c r="C21" s="77">
        <v>15</v>
      </c>
      <c r="D21" s="77">
        <v>30</v>
      </c>
      <c r="E21" s="77">
        <v>23</v>
      </c>
      <c r="F21" s="97">
        <v>22</v>
      </c>
      <c r="G21" s="125"/>
      <c r="H21" s="122"/>
      <c r="I21" s="122"/>
      <c r="J21" s="122"/>
      <c r="K21" s="123"/>
      <c r="L21" s="124"/>
      <c r="M21" s="122"/>
      <c r="N21" s="122"/>
      <c r="O21" s="122"/>
      <c r="P21" s="122"/>
      <c r="Q21" s="125"/>
      <c r="R21" s="122"/>
      <c r="S21" s="122"/>
      <c r="T21" s="122"/>
      <c r="U21" s="123"/>
      <c r="V21" s="125"/>
      <c r="W21" s="122"/>
      <c r="X21" s="122"/>
      <c r="Y21" s="122"/>
      <c r="Z21" s="123"/>
    </row>
    <row r="22" spans="1:26" x14ac:dyDescent="0.3">
      <c r="A22" s="84" t="s">
        <v>59</v>
      </c>
      <c r="B22" s="133">
        <v>6</v>
      </c>
      <c r="C22" s="77">
        <v>20</v>
      </c>
      <c r="D22" s="77">
        <v>11</v>
      </c>
      <c r="E22" s="77">
        <v>20</v>
      </c>
      <c r="F22" s="97">
        <v>28</v>
      </c>
      <c r="G22" s="155" t="s">
        <v>61</v>
      </c>
      <c r="H22" s="156" t="s">
        <v>61</v>
      </c>
      <c r="I22" s="156" t="s">
        <v>61</v>
      </c>
      <c r="J22" s="156" t="s">
        <v>61</v>
      </c>
      <c r="K22" s="157" t="s">
        <v>133</v>
      </c>
      <c r="L22" s="158" t="s">
        <v>61</v>
      </c>
      <c r="M22" s="156" t="s">
        <v>61</v>
      </c>
      <c r="N22" s="156" t="s">
        <v>61</v>
      </c>
      <c r="O22" s="156" t="s">
        <v>61</v>
      </c>
      <c r="P22" s="156" t="s">
        <v>61</v>
      </c>
      <c r="Q22" s="125"/>
      <c r="R22" s="122"/>
      <c r="S22" s="122"/>
      <c r="T22" s="122"/>
      <c r="U22" s="123"/>
      <c r="V22" s="125"/>
      <c r="W22" s="122"/>
      <c r="X22" s="122"/>
      <c r="Y22" s="122"/>
      <c r="Z22" s="123"/>
    </row>
    <row r="23" spans="1:26" ht="15" thickBot="1" x14ac:dyDescent="0.35">
      <c r="A23" s="114" t="s">
        <v>60</v>
      </c>
      <c r="B23" s="136">
        <v>20</v>
      </c>
      <c r="C23" s="134">
        <v>11</v>
      </c>
      <c r="D23" s="134">
        <v>28</v>
      </c>
      <c r="E23" s="134">
        <v>10</v>
      </c>
      <c r="F23" s="135">
        <v>7</v>
      </c>
      <c r="G23" s="129" t="s">
        <v>61</v>
      </c>
      <c r="H23" s="126" t="s">
        <v>73</v>
      </c>
      <c r="I23" s="126" t="s">
        <v>61</v>
      </c>
      <c r="J23" s="126" t="s">
        <v>73</v>
      </c>
      <c r="K23" s="127" t="s">
        <v>61</v>
      </c>
      <c r="L23" s="128"/>
      <c r="M23" s="126"/>
      <c r="N23" s="126"/>
      <c r="O23" s="126"/>
      <c r="P23" s="126"/>
      <c r="Q23" s="129"/>
      <c r="R23" s="126"/>
      <c r="S23" s="126"/>
      <c r="T23" s="126"/>
      <c r="U23" s="127"/>
      <c r="V23" s="129"/>
      <c r="W23" s="126"/>
      <c r="X23" s="126"/>
      <c r="Y23" s="126"/>
      <c r="Z23" s="127"/>
    </row>
  </sheetData>
  <mergeCells count="5">
    <mergeCell ref="B1:F1"/>
    <mergeCell ref="G1:K1"/>
    <mergeCell ref="L1:P1"/>
    <mergeCell ref="Q1:U1"/>
    <mergeCell ref="V1:Z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tabSelected="1" zoomScaleNormal="150" zoomScaleSheetLayoutView="100" workbookViewId="0">
      <pane xSplit="1" topLeftCell="B1" activePane="topRight" state="frozen"/>
      <selection activeCell="J23" sqref="J23"/>
      <selection pane="topRight" activeCell="Q4" sqref="Q4"/>
    </sheetView>
  </sheetViews>
  <sheetFormatPr defaultRowHeight="14.4" x14ac:dyDescent="0.3"/>
  <cols>
    <col min="1" max="1" width="33.6640625" customWidth="1"/>
    <col min="2" max="2" width="4.44140625" bestFit="1" customWidth="1"/>
    <col min="3" max="3" width="4.6640625" customWidth="1"/>
    <col min="4" max="7" width="3.88671875" bestFit="1" customWidth="1"/>
    <col min="8" max="8" width="7.109375" bestFit="1" customWidth="1"/>
    <col min="9" max="13" width="4.44140625" bestFit="1" customWidth="1"/>
    <col min="14" max="14" width="7.109375" bestFit="1" customWidth="1"/>
    <col min="15" max="15" width="5.33203125" customWidth="1"/>
    <col min="16" max="16" width="6.5546875" bestFit="1" customWidth="1"/>
    <col min="17" max="17" width="7.21875" bestFit="1" customWidth="1"/>
    <col min="18" max="18" width="5.6640625" customWidth="1"/>
    <col min="19" max="19" width="4.44140625" bestFit="1" customWidth="1"/>
    <col min="20" max="24" width="3.88671875" bestFit="1" customWidth="1"/>
    <col min="25" max="25" width="7.109375" bestFit="1" customWidth="1"/>
    <col min="26" max="26" width="4.44140625" bestFit="1" customWidth="1"/>
    <col min="27" max="30" width="3.88671875" bestFit="1" customWidth="1"/>
    <col min="31" max="31" width="4.88671875" customWidth="1"/>
    <col min="32" max="32" width="6.33203125" customWidth="1"/>
    <col min="33" max="33" width="5.88671875" customWidth="1"/>
    <col min="34" max="34" width="5.5546875" customWidth="1"/>
  </cols>
  <sheetData>
    <row r="1" spans="1:34" ht="15" thickBot="1" x14ac:dyDescent="0.35">
      <c r="A1" s="41" t="s">
        <v>0</v>
      </c>
      <c r="B1" s="205" t="s">
        <v>6</v>
      </c>
      <c r="C1" s="206"/>
      <c r="D1" s="206"/>
      <c r="E1" s="206"/>
      <c r="F1" s="206"/>
      <c r="G1" s="206"/>
      <c r="H1" s="207"/>
      <c r="I1" s="205" t="s">
        <v>7</v>
      </c>
      <c r="J1" s="208"/>
      <c r="K1" s="208"/>
      <c r="L1" s="208"/>
      <c r="M1" s="208"/>
      <c r="N1" s="209"/>
      <c r="O1" s="48" t="s">
        <v>34</v>
      </c>
      <c r="P1" s="49"/>
      <c r="Q1" s="50" t="s">
        <v>8</v>
      </c>
      <c r="R1" s="53" t="s">
        <v>37</v>
      </c>
      <c r="S1" s="205" t="s">
        <v>35</v>
      </c>
      <c r="T1" s="206"/>
      <c r="U1" s="206"/>
      <c r="V1" s="206"/>
      <c r="W1" s="206"/>
      <c r="X1" s="206"/>
      <c r="Y1" s="207"/>
      <c r="Z1" s="205" t="s">
        <v>36</v>
      </c>
      <c r="AA1" s="206"/>
      <c r="AB1" s="206"/>
      <c r="AC1" s="206"/>
      <c r="AD1" s="206"/>
      <c r="AE1" s="206"/>
      <c r="AF1" s="207"/>
      <c r="AG1" s="48" t="s">
        <v>38</v>
      </c>
      <c r="AH1" s="50" t="s">
        <v>33</v>
      </c>
    </row>
    <row r="2" spans="1:34" ht="15" thickBot="1" x14ac:dyDescent="0.35">
      <c r="A2" s="42"/>
      <c r="B2" s="24" t="s">
        <v>9</v>
      </c>
      <c r="C2" s="8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43" t="s">
        <v>15</v>
      </c>
      <c r="I2" s="44" t="s">
        <v>9</v>
      </c>
      <c r="J2" s="45" t="s">
        <v>10</v>
      </c>
      <c r="K2" s="46" t="s">
        <v>11</v>
      </c>
      <c r="L2" s="46" t="s">
        <v>12</v>
      </c>
      <c r="M2" s="46" t="s">
        <v>13</v>
      </c>
      <c r="N2" s="47" t="s">
        <v>15</v>
      </c>
      <c r="O2" s="51" t="s">
        <v>16</v>
      </c>
      <c r="P2" s="25" t="s">
        <v>17</v>
      </c>
      <c r="Q2" s="188" t="s">
        <v>18</v>
      </c>
      <c r="R2" s="183"/>
      <c r="S2" s="195" t="s">
        <v>9</v>
      </c>
      <c r="T2" s="8" t="s">
        <v>10</v>
      </c>
      <c r="U2" s="9" t="s">
        <v>11</v>
      </c>
      <c r="V2" s="9" t="s">
        <v>12</v>
      </c>
      <c r="W2" s="9" t="s">
        <v>13</v>
      </c>
      <c r="X2" s="9" t="s">
        <v>14</v>
      </c>
      <c r="Y2" s="43" t="s">
        <v>15</v>
      </c>
      <c r="Z2" s="24" t="s">
        <v>9</v>
      </c>
      <c r="AA2" s="8" t="s">
        <v>10</v>
      </c>
      <c r="AB2" s="9" t="s">
        <v>11</v>
      </c>
      <c r="AC2" s="9" t="s">
        <v>12</v>
      </c>
      <c r="AD2" s="9" t="s">
        <v>13</v>
      </c>
      <c r="AE2" s="9" t="s">
        <v>14</v>
      </c>
      <c r="AF2" s="43" t="s">
        <v>15</v>
      </c>
      <c r="AG2" s="51"/>
      <c r="AH2" s="52"/>
    </row>
    <row r="3" spans="1:34" ht="16.8" thickTop="1" x14ac:dyDescent="0.3">
      <c r="A3" s="83" t="s">
        <v>41</v>
      </c>
      <c r="B3" s="90">
        <v>3</v>
      </c>
      <c r="C3" s="147">
        <v>1.2</v>
      </c>
      <c r="D3" s="81">
        <v>0.5</v>
      </c>
      <c r="E3" s="81">
        <v>2.5</v>
      </c>
      <c r="F3" s="81">
        <v>0.7</v>
      </c>
      <c r="G3" s="81">
        <v>0.8</v>
      </c>
      <c r="H3" s="92">
        <f>SUM(C3:G3)</f>
        <v>5.7</v>
      </c>
      <c r="I3" s="90">
        <v>4</v>
      </c>
      <c r="J3" s="176">
        <v>0</v>
      </c>
      <c r="K3" s="151">
        <v>0</v>
      </c>
      <c r="L3" s="154">
        <v>1.7</v>
      </c>
      <c r="M3" s="81">
        <v>0.5</v>
      </c>
      <c r="N3" s="92">
        <f>SUM(J3:M3)</f>
        <v>2.2000000000000002</v>
      </c>
      <c r="O3" s="168">
        <f>(H3+N3)/2</f>
        <v>3.95</v>
      </c>
      <c r="P3" s="170">
        <v>1</v>
      </c>
      <c r="Q3" s="189" t="s">
        <v>148</v>
      </c>
      <c r="R3" s="184"/>
      <c r="S3" s="196"/>
      <c r="T3" s="91"/>
      <c r="U3" s="81"/>
      <c r="V3" s="81"/>
      <c r="W3" s="81"/>
      <c r="X3" s="81"/>
      <c r="Y3" s="92">
        <f>SUM(T3:X3)</f>
        <v>0</v>
      </c>
      <c r="Z3" s="90"/>
      <c r="AA3" s="91"/>
      <c r="AB3" s="81"/>
      <c r="AC3" s="81"/>
      <c r="AD3" s="81"/>
      <c r="AE3" s="81"/>
      <c r="AF3" s="92">
        <f>SUM(AA3:AE3)</f>
        <v>0</v>
      </c>
      <c r="AG3" s="94"/>
      <c r="AH3" s="95"/>
    </row>
    <row r="4" spans="1:34" ht="16.2" x14ac:dyDescent="0.3">
      <c r="A4" s="84" t="s">
        <v>42</v>
      </c>
      <c r="B4" s="96"/>
      <c r="C4" s="91"/>
      <c r="D4" s="81"/>
      <c r="E4" s="81"/>
      <c r="F4" s="81"/>
      <c r="G4" s="81"/>
      <c r="H4" s="92">
        <f t="shared" ref="H4:H23" si="0">SUM(C4:G4)</f>
        <v>0</v>
      </c>
      <c r="I4" s="96"/>
      <c r="J4" s="91"/>
      <c r="K4" s="81"/>
      <c r="L4" s="81"/>
      <c r="M4" s="81"/>
      <c r="N4" s="92">
        <f t="shared" ref="N4:N23" si="1">SUM(J4:M4)</f>
        <v>0</v>
      </c>
      <c r="O4" s="168">
        <f t="shared" ref="O4:O23" si="2">(H4+N4)/2</f>
        <v>0</v>
      </c>
      <c r="P4" s="170" t="s">
        <v>147</v>
      </c>
      <c r="Q4" s="189" t="s">
        <v>148</v>
      </c>
      <c r="R4" s="185"/>
      <c r="S4" s="197"/>
      <c r="T4" s="91"/>
      <c r="U4" s="81"/>
      <c r="V4" s="81"/>
      <c r="W4" s="81"/>
      <c r="X4" s="81"/>
      <c r="Y4" s="92">
        <f t="shared" ref="Y4:Y23" si="3">SUM(T4:X4)</f>
        <v>0</v>
      </c>
      <c r="Z4" s="96"/>
      <c r="AA4" s="91"/>
      <c r="AB4" s="81"/>
      <c r="AC4" s="81"/>
      <c r="AD4" s="81"/>
      <c r="AE4" s="81"/>
      <c r="AF4" s="92">
        <f t="shared" ref="AF4:AF23" si="4">SUM(AA4:AE4)</f>
        <v>0</v>
      </c>
      <c r="AG4" s="94"/>
      <c r="AH4" s="95"/>
    </row>
    <row r="5" spans="1:34" ht="16.2" x14ac:dyDescent="0.3">
      <c r="A5" s="84" t="s">
        <v>39</v>
      </c>
      <c r="B5" s="96">
        <v>2</v>
      </c>
      <c r="C5" s="147">
        <v>1.2</v>
      </c>
      <c r="D5" s="81">
        <v>0.5</v>
      </c>
      <c r="E5" s="81">
        <v>2.5</v>
      </c>
      <c r="F5" s="154">
        <v>0.6</v>
      </c>
      <c r="G5" s="151">
        <v>0</v>
      </c>
      <c r="H5" s="92">
        <f t="shared" si="0"/>
        <v>4.8</v>
      </c>
      <c r="I5" s="96">
        <v>5</v>
      </c>
      <c r="J5" s="147">
        <v>1.3</v>
      </c>
      <c r="K5" s="151">
        <v>0.5</v>
      </c>
      <c r="L5" s="151">
        <v>0</v>
      </c>
      <c r="M5" s="151">
        <v>0.1</v>
      </c>
      <c r="N5" s="92">
        <f t="shared" si="1"/>
        <v>1.9000000000000001</v>
      </c>
      <c r="O5" s="168">
        <f t="shared" si="2"/>
        <v>3.35</v>
      </c>
      <c r="P5" s="170">
        <v>4</v>
      </c>
      <c r="Q5" s="189" t="s">
        <v>148</v>
      </c>
      <c r="R5" s="186"/>
      <c r="S5" s="197"/>
      <c r="T5" s="91"/>
      <c r="U5" s="81"/>
      <c r="V5" s="81"/>
      <c r="W5" s="81"/>
      <c r="X5" s="81"/>
      <c r="Y5" s="92">
        <f t="shared" si="3"/>
        <v>0</v>
      </c>
      <c r="Z5" s="96"/>
      <c r="AA5" s="91"/>
      <c r="AB5" s="81"/>
      <c r="AC5" s="81"/>
      <c r="AD5" s="81"/>
      <c r="AE5" s="81"/>
      <c r="AF5" s="92">
        <f t="shared" si="4"/>
        <v>0</v>
      </c>
      <c r="AG5" s="94"/>
      <c r="AH5" s="95"/>
    </row>
    <row r="6" spans="1:34" x14ac:dyDescent="0.3">
      <c r="A6" s="84" t="s">
        <v>43</v>
      </c>
      <c r="B6" s="96">
        <v>2</v>
      </c>
      <c r="C6" s="147">
        <v>1.2</v>
      </c>
      <c r="D6" s="81">
        <v>0.5</v>
      </c>
      <c r="E6" s="81">
        <v>2.5</v>
      </c>
      <c r="F6" s="81">
        <v>0.7</v>
      </c>
      <c r="G6" s="81">
        <v>0.8</v>
      </c>
      <c r="H6" s="92">
        <f t="shared" si="0"/>
        <v>5.7</v>
      </c>
      <c r="I6" s="96">
        <v>4</v>
      </c>
      <c r="J6" s="91">
        <v>1.5</v>
      </c>
      <c r="K6" s="81">
        <v>2</v>
      </c>
      <c r="L6" s="81">
        <v>2</v>
      </c>
      <c r="M6" s="81">
        <v>0.5</v>
      </c>
      <c r="N6" s="92">
        <f t="shared" si="1"/>
        <v>6</v>
      </c>
      <c r="O6" s="93">
        <f t="shared" si="2"/>
        <v>5.85</v>
      </c>
      <c r="P6" s="170">
        <v>0</v>
      </c>
      <c r="Q6" s="190" t="s">
        <v>81</v>
      </c>
      <c r="R6" s="186"/>
      <c r="S6" s="197"/>
      <c r="T6" s="91"/>
      <c r="U6" s="81"/>
      <c r="V6" s="81"/>
      <c r="W6" s="81"/>
      <c r="X6" s="81"/>
      <c r="Y6" s="92">
        <f t="shared" si="3"/>
        <v>0</v>
      </c>
      <c r="Z6" s="96"/>
      <c r="AA6" s="91"/>
      <c r="AB6" s="81"/>
      <c r="AC6" s="81"/>
      <c r="AD6" s="81"/>
      <c r="AE6" s="81"/>
      <c r="AF6" s="92">
        <f t="shared" si="4"/>
        <v>0</v>
      </c>
      <c r="AG6" s="94"/>
      <c r="AH6" s="95"/>
    </row>
    <row r="7" spans="1:34" ht="16.2" x14ac:dyDescent="0.3">
      <c r="A7" s="84" t="s">
        <v>64</v>
      </c>
      <c r="B7" s="96">
        <v>1</v>
      </c>
      <c r="C7" s="147">
        <v>1.2</v>
      </c>
      <c r="D7" s="81">
        <v>0.5</v>
      </c>
      <c r="E7" s="151">
        <v>1</v>
      </c>
      <c r="F7" s="151">
        <v>0</v>
      </c>
      <c r="G7" s="151">
        <v>0</v>
      </c>
      <c r="H7" s="92">
        <f t="shared" si="0"/>
        <v>2.7</v>
      </c>
      <c r="I7" s="96"/>
      <c r="J7" s="91"/>
      <c r="K7" s="81"/>
      <c r="L7" s="81"/>
      <c r="M7" s="81"/>
      <c r="N7" s="92">
        <f t="shared" si="1"/>
        <v>0</v>
      </c>
      <c r="O7" s="168">
        <f t="shared" si="2"/>
        <v>1.35</v>
      </c>
      <c r="P7" s="170">
        <v>3</v>
      </c>
      <c r="Q7" s="189" t="s">
        <v>148</v>
      </c>
      <c r="R7" s="186"/>
      <c r="S7" s="197"/>
      <c r="T7" s="91"/>
      <c r="U7" s="81"/>
      <c r="V7" s="81"/>
      <c r="W7" s="81"/>
      <c r="X7" s="81"/>
      <c r="Y7" s="92">
        <f t="shared" si="3"/>
        <v>0</v>
      </c>
      <c r="Z7" s="96"/>
      <c r="AA7" s="91"/>
      <c r="AB7" s="81"/>
      <c r="AC7" s="81"/>
      <c r="AD7" s="81"/>
      <c r="AE7" s="81"/>
      <c r="AF7" s="92">
        <f t="shared" si="4"/>
        <v>0</v>
      </c>
      <c r="AG7" s="94"/>
      <c r="AH7" s="95"/>
    </row>
    <row r="8" spans="1:34" x14ac:dyDescent="0.3">
      <c r="A8" s="84" t="s">
        <v>45</v>
      </c>
      <c r="B8" s="96">
        <v>3</v>
      </c>
      <c r="C8" s="91">
        <v>1.5</v>
      </c>
      <c r="D8" s="81">
        <v>0.5</v>
      </c>
      <c r="E8" s="81">
        <v>2.5</v>
      </c>
      <c r="F8" s="81">
        <v>0.7</v>
      </c>
      <c r="G8" s="81">
        <v>0.8</v>
      </c>
      <c r="H8" s="92">
        <f t="shared" si="0"/>
        <v>6</v>
      </c>
      <c r="I8" s="96">
        <v>3</v>
      </c>
      <c r="J8" s="91">
        <v>1.5</v>
      </c>
      <c r="K8" s="81">
        <v>2</v>
      </c>
      <c r="L8" s="81">
        <v>2</v>
      </c>
      <c r="M8" s="81">
        <v>0.5</v>
      </c>
      <c r="N8" s="92">
        <f t="shared" si="1"/>
        <v>6</v>
      </c>
      <c r="O8" s="93">
        <f t="shared" si="2"/>
        <v>6</v>
      </c>
      <c r="P8" s="170">
        <v>0</v>
      </c>
      <c r="Q8" s="191" t="s">
        <v>81</v>
      </c>
      <c r="R8" s="186"/>
      <c r="S8" s="197"/>
      <c r="T8" s="91"/>
      <c r="U8" s="81"/>
      <c r="V8" s="81"/>
      <c r="W8" s="81"/>
      <c r="X8" s="81"/>
      <c r="Y8" s="92">
        <f t="shared" si="3"/>
        <v>0</v>
      </c>
      <c r="Z8" s="96"/>
      <c r="AA8" s="91"/>
      <c r="AB8" s="81"/>
      <c r="AC8" s="81"/>
      <c r="AD8" s="81"/>
      <c r="AE8" s="81"/>
      <c r="AF8" s="92">
        <f t="shared" si="4"/>
        <v>0</v>
      </c>
      <c r="AG8" s="94"/>
      <c r="AH8" s="95"/>
    </row>
    <row r="9" spans="1:34" ht="15" customHeight="1" x14ac:dyDescent="0.3">
      <c r="A9" s="84" t="s">
        <v>47</v>
      </c>
      <c r="B9" s="96">
        <v>5</v>
      </c>
      <c r="C9" s="91">
        <v>1.5</v>
      </c>
      <c r="D9" s="81">
        <v>0.5</v>
      </c>
      <c r="E9" s="81">
        <v>2.5</v>
      </c>
      <c r="F9" s="81">
        <v>0.7</v>
      </c>
      <c r="G9" s="81">
        <v>0.8</v>
      </c>
      <c r="H9" s="92">
        <f>SUM(C9:G9)</f>
        <v>6</v>
      </c>
      <c r="I9" s="96">
        <v>3</v>
      </c>
      <c r="J9" s="176">
        <v>0.7</v>
      </c>
      <c r="K9" s="178">
        <v>1.2</v>
      </c>
      <c r="L9" s="151">
        <v>0.7</v>
      </c>
      <c r="M9" s="81">
        <v>0.5</v>
      </c>
      <c r="N9" s="92">
        <f>SUM(J9:M9)</f>
        <v>3.0999999999999996</v>
      </c>
      <c r="O9" s="93">
        <f>(H9+N9)/2</f>
        <v>4.55</v>
      </c>
      <c r="P9" s="170">
        <v>0</v>
      </c>
      <c r="Q9" s="192" t="s">
        <v>149</v>
      </c>
      <c r="R9" s="186"/>
      <c r="S9" s="197"/>
      <c r="T9" s="91"/>
      <c r="U9" s="81"/>
      <c r="V9" s="81"/>
      <c r="W9" s="81"/>
      <c r="X9" s="81"/>
      <c r="Y9" s="92">
        <f>SUM(T9:X9)</f>
        <v>0</v>
      </c>
      <c r="Z9" s="96"/>
      <c r="AA9" s="91"/>
      <c r="AB9" s="81"/>
      <c r="AC9" s="81"/>
      <c r="AD9" s="81"/>
      <c r="AE9" s="81"/>
      <c r="AF9" s="92">
        <f>SUM(AA9:AE9)</f>
        <v>0</v>
      </c>
      <c r="AG9" s="94"/>
      <c r="AH9" s="95"/>
    </row>
    <row r="10" spans="1:34" x14ac:dyDescent="0.3">
      <c r="A10" s="84" t="s">
        <v>46</v>
      </c>
      <c r="B10" s="96">
        <v>5</v>
      </c>
      <c r="C10" s="91">
        <v>1.5</v>
      </c>
      <c r="D10" s="81">
        <v>0.5</v>
      </c>
      <c r="E10" s="81">
        <v>2.5</v>
      </c>
      <c r="F10" s="81">
        <v>0.7</v>
      </c>
      <c r="G10" s="81">
        <v>0.8</v>
      </c>
      <c r="H10" s="92">
        <f t="shared" si="0"/>
        <v>6</v>
      </c>
      <c r="I10" s="96">
        <v>1</v>
      </c>
      <c r="J10" s="91">
        <v>1.5</v>
      </c>
      <c r="K10" s="151">
        <v>0.5</v>
      </c>
      <c r="L10" s="154">
        <v>1.7</v>
      </c>
      <c r="M10" s="81">
        <v>0.5</v>
      </c>
      <c r="N10" s="92">
        <f t="shared" si="1"/>
        <v>4.2</v>
      </c>
      <c r="O10" s="93">
        <f t="shared" si="2"/>
        <v>5.0999999999999996</v>
      </c>
      <c r="P10" s="170">
        <v>0</v>
      </c>
      <c r="Q10" s="193" t="s">
        <v>149</v>
      </c>
      <c r="R10" s="186"/>
      <c r="S10" s="197"/>
      <c r="T10" s="91"/>
      <c r="U10" s="81"/>
      <c r="V10" s="81"/>
      <c r="W10" s="81"/>
      <c r="X10" s="81"/>
      <c r="Y10" s="92">
        <f t="shared" si="3"/>
        <v>0</v>
      </c>
      <c r="Z10" s="96"/>
      <c r="AA10" s="91"/>
      <c r="AB10" s="81"/>
      <c r="AC10" s="81"/>
      <c r="AD10" s="81"/>
      <c r="AE10" s="81"/>
      <c r="AF10" s="92">
        <f t="shared" si="4"/>
        <v>0</v>
      </c>
      <c r="AG10" s="94"/>
      <c r="AH10" s="95"/>
    </row>
    <row r="11" spans="1:34" ht="15" customHeight="1" x14ac:dyDescent="0.3">
      <c r="A11" s="84" t="s">
        <v>48</v>
      </c>
      <c r="B11" s="96">
        <v>6</v>
      </c>
      <c r="C11" s="91">
        <v>1.5</v>
      </c>
      <c r="D11" s="81">
        <v>0.5</v>
      </c>
      <c r="E11" s="81">
        <v>2.5</v>
      </c>
      <c r="F11" s="81">
        <v>0.7</v>
      </c>
      <c r="G11" s="81">
        <v>0.8</v>
      </c>
      <c r="H11" s="92">
        <f t="shared" si="0"/>
        <v>6</v>
      </c>
      <c r="I11" s="96">
        <v>1</v>
      </c>
      <c r="J11" s="91">
        <v>1.5</v>
      </c>
      <c r="K11" s="81">
        <v>2</v>
      </c>
      <c r="L11" s="81">
        <v>2</v>
      </c>
      <c r="M11" s="81">
        <v>0.5</v>
      </c>
      <c r="N11" s="92">
        <f t="shared" si="1"/>
        <v>6</v>
      </c>
      <c r="O11" s="93">
        <f t="shared" si="2"/>
        <v>6</v>
      </c>
      <c r="P11" s="170">
        <v>1</v>
      </c>
      <c r="Q11" s="194" t="s">
        <v>81</v>
      </c>
      <c r="R11" s="186"/>
      <c r="S11" s="197"/>
      <c r="T11" s="91"/>
      <c r="U11" s="81"/>
      <c r="V11" s="81"/>
      <c r="W11" s="81"/>
      <c r="X11" s="81"/>
      <c r="Y11" s="92">
        <f t="shared" si="3"/>
        <v>0</v>
      </c>
      <c r="Z11" s="96"/>
      <c r="AA11" s="91"/>
      <c r="AB11" s="81"/>
      <c r="AC11" s="81"/>
      <c r="AD11" s="81"/>
      <c r="AE11" s="81"/>
      <c r="AF11" s="92">
        <f t="shared" si="4"/>
        <v>0</v>
      </c>
      <c r="AG11" s="94"/>
      <c r="AH11" s="95"/>
    </row>
    <row r="12" spans="1:34" x14ac:dyDescent="0.3">
      <c r="A12" s="84" t="s">
        <v>49</v>
      </c>
      <c r="B12" s="96">
        <v>5</v>
      </c>
      <c r="C12" s="91">
        <v>1.5</v>
      </c>
      <c r="D12" s="81">
        <v>0.5</v>
      </c>
      <c r="E12" s="81">
        <v>2.5</v>
      </c>
      <c r="F12" s="81">
        <v>0.7</v>
      </c>
      <c r="G12" s="81">
        <v>0.8</v>
      </c>
      <c r="H12" s="92">
        <f t="shared" si="0"/>
        <v>6</v>
      </c>
      <c r="I12" s="96">
        <v>2</v>
      </c>
      <c r="J12" s="91">
        <v>1.5</v>
      </c>
      <c r="K12" s="81">
        <v>2</v>
      </c>
      <c r="L12" s="81">
        <v>2</v>
      </c>
      <c r="M12" s="81">
        <v>0.5</v>
      </c>
      <c r="N12" s="92">
        <f t="shared" si="1"/>
        <v>6</v>
      </c>
      <c r="O12" s="93">
        <f t="shared" si="2"/>
        <v>6</v>
      </c>
      <c r="P12" s="170">
        <v>1</v>
      </c>
      <c r="Q12" s="192" t="s">
        <v>81</v>
      </c>
      <c r="R12" s="186"/>
      <c r="S12" s="197"/>
      <c r="T12" s="91"/>
      <c r="U12" s="81"/>
      <c r="V12" s="81"/>
      <c r="W12" s="81"/>
      <c r="X12" s="81"/>
      <c r="Y12" s="92">
        <f t="shared" si="3"/>
        <v>0</v>
      </c>
      <c r="Z12" s="96"/>
      <c r="AA12" s="91"/>
      <c r="AB12" s="81"/>
      <c r="AC12" s="81"/>
      <c r="AD12" s="81"/>
      <c r="AE12" s="81"/>
      <c r="AF12" s="92">
        <f t="shared" si="4"/>
        <v>0</v>
      </c>
      <c r="AG12" s="94"/>
      <c r="AH12" s="95"/>
    </row>
    <row r="13" spans="1:34" x14ac:dyDescent="0.3">
      <c r="A13" s="84" t="s">
        <v>50</v>
      </c>
      <c r="B13" s="98">
        <v>1</v>
      </c>
      <c r="C13" s="148">
        <v>1.2</v>
      </c>
      <c r="D13" s="100">
        <v>0.5</v>
      </c>
      <c r="E13" s="152">
        <v>2.2000000000000002</v>
      </c>
      <c r="F13" s="100">
        <v>0.7</v>
      </c>
      <c r="G13" s="100">
        <v>0.8</v>
      </c>
      <c r="H13" s="92">
        <f t="shared" si="0"/>
        <v>5.4</v>
      </c>
      <c r="I13" s="98">
        <v>5</v>
      </c>
      <c r="J13" s="99">
        <v>1.5</v>
      </c>
      <c r="K13" s="100">
        <v>2</v>
      </c>
      <c r="L13" s="100">
        <v>2</v>
      </c>
      <c r="M13" s="100">
        <v>0.5</v>
      </c>
      <c r="N13" s="92">
        <f t="shared" si="1"/>
        <v>6</v>
      </c>
      <c r="O13" s="93">
        <f t="shared" si="2"/>
        <v>5.7</v>
      </c>
      <c r="P13" s="170">
        <v>0</v>
      </c>
      <c r="Q13" s="193" t="s">
        <v>81</v>
      </c>
      <c r="R13" s="186"/>
      <c r="S13" s="198"/>
      <c r="T13" s="99"/>
      <c r="U13" s="100"/>
      <c r="V13" s="100"/>
      <c r="W13" s="100"/>
      <c r="X13" s="100"/>
      <c r="Y13" s="92">
        <f t="shared" si="3"/>
        <v>0</v>
      </c>
      <c r="Z13" s="98"/>
      <c r="AA13" s="99"/>
      <c r="AB13" s="100"/>
      <c r="AC13" s="100"/>
      <c r="AD13" s="100"/>
      <c r="AE13" s="100"/>
      <c r="AF13" s="92">
        <f t="shared" si="4"/>
        <v>0</v>
      </c>
      <c r="AG13" s="94"/>
      <c r="AH13" s="95"/>
    </row>
    <row r="14" spans="1:34" x14ac:dyDescent="0.3">
      <c r="A14" s="84" t="s">
        <v>51</v>
      </c>
      <c r="B14" s="98">
        <v>6</v>
      </c>
      <c r="C14" s="99">
        <v>1.5</v>
      </c>
      <c r="D14" s="100">
        <v>0.5</v>
      </c>
      <c r="E14" s="100">
        <v>2.5</v>
      </c>
      <c r="F14" s="100">
        <v>0.7</v>
      </c>
      <c r="G14" s="100">
        <v>0.8</v>
      </c>
      <c r="H14" s="92">
        <f t="shared" si="0"/>
        <v>6</v>
      </c>
      <c r="I14" s="98">
        <v>6</v>
      </c>
      <c r="J14" s="99">
        <v>1.5</v>
      </c>
      <c r="K14" s="100">
        <v>2</v>
      </c>
      <c r="L14" s="100">
        <v>2</v>
      </c>
      <c r="M14" s="100">
        <v>0.5</v>
      </c>
      <c r="N14" s="92">
        <f t="shared" si="1"/>
        <v>6</v>
      </c>
      <c r="O14" s="93">
        <f t="shared" si="2"/>
        <v>6</v>
      </c>
      <c r="P14" s="170">
        <v>0</v>
      </c>
      <c r="Q14" s="193" t="s">
        <v>81</v>
      </c>
      <c r="R14" s="186"/>
      <c r="S14" s="198"/>
      <c r="T14" s="99"/>
      <c r="U14" s="100"/>
      <c r="V14" s="100"/>
      <c r="W14" s="100"/>
      <c r="X14" s="100"/>
      <c r="Y14" s="92">
        <f t="shared" si="3"/>
        <v>0</v>
      </c>
      <c r="Z14" s="98"/>
      <c r="AA14" s="99"/>
      <c r="AB14" s="100"/>
      <c r="AC14" s="100"/>
      <c r="AD14" s="100"/>
      <c r="AE14" s="100"/>
      <c r="AF14" s="92">
        <f t="shared" si="4"/>
        <v>0</v>
      </c>
      <c r="AG14" s="94"/>
      <c r="AH14" s="95"/>
    </row>
    <row r="15" spans="1:34" x14ac:dyDescent="0.3">
      <c r="A15" s="84" t="s">
        <v>52</v>
      </c>
      <c r="B15" s="98">
        <v>2</v>
      </c>
      <c r="C15" s="148">
        <v>1.2</v>
      </c>
      <c r="D15" s="100">
        <v>0.5</v>
      </c>
      <c r="E15" s="100">
        <v>2.5</v>
      </c>
      <c r="F15" s="100">
        <v>0.7</v>
      </c>
      <c r="G15" s="100">
        <v>0.8</v>
      </c>
      <c r="H15" s="92">
        <f t="shared" si="0"/>
        <v>5.7</v>
      </c>
      <c r="I15" s="98">
        <v>3</v>
      </c>
      <c r="J15" s="99">
        <v>1.5</v>
      </c>
      <c r="K15" s="100">
        <v>2</v>
      </c>
      <c r="L15" s="100">
        <v>2</v>
      </c>
      <c r="M15" s="100">
        <v>0.5</v>
      </c>
      <c r="N15" s="92">
        <f t="shared" si="1"/>
        <v>6</v>
      </c>
      <c r="O15" s="93">
        <f t="shared" si="2"/>
        <v>5.85</v>
      </c>
      <c r="P15" s="171">
        <v>3</v>
      </c>
      <c r="Q15" s="192" t="s">
        <v>81</v>
      </c>
      <c r="R15" s="186"/>
      <c r="S15" s="198"/>
      <c r="T15" s="99"/>
      <c r="U15" s="100"/>
      <c r="V15" s="100"/>
      <c r="W15" s="100"/>
      <c r="X15" s="100"/>
      <c r="Y15" s="92">
        <f t="shared" si="3"/>
        <v>0</v>
      </c>
      <c r="Z15" s="98"/>
      <c r="AA15" s="99"/>
      <c r="AB15" s="100"/>
      <c r="AC15" s="100"/>
      <c r="AD15" s="100"/>
      <c r="AE15" s="100"/>
      <c r="AF15" s="92">
        <f t="shared" si="4"/>
        <v>0</v>
      </c>
      <c r="AG15" s="94"/>
      <c r="AH15" s="101"/>
    </row>
    <row r="16" spans="1:34" ht="26.4" x14ac:dyDescent="0.3">
      <c r="A16" s="84" t="s">
        <v>53</v>
      </c>
      <c r="B16" s="165">
        <v>5</v>
      </c>
      <c r="C16" s="105">
        <v>1.5</v>
      </c>
      <c r="D16" s="105">
        <v>0.5</v>
      </c>
      <c r="E16" s="105">
        <v>2.5</v>
      </c>
      <c r="F16" s="105">
        <v>0.7</v>
      </c>
      <c r="G16" s="105">
        <v>0.8</v>
      </c>
      <c r="H16" s="166">
        <f t="shared" si="0"/>
        <v>6</v>
      </c>
      <c r="I16" s="165">
        <v>5</v>
      </c>
      <c r="J16" s="177">
        <v>0.7</v>
      </c>
      <c r="K16" s="179">
        <v>1.7</v>
      </c>
      <c r="L16" s="181">
        <v>1.3</v>
      </c>
      <c r="M16" s="161">
        <v>0.5</v>
      </c>
      <c r="N16" s="166">
        <f t="shared" si="1"/>
        <v>4.2</v>
      </c>
      <c r="O16" s="167">
        <f t="shared" si="2"/>
        <v>5.0999999999999996</v>
      </c>
      <c r="P16" s="172">
        <v>0</v>
      </c>
      <c r="Q16" s="192" t="s">
        <v>149</v>
      </c>
      <c r="R16" s="186"/>
      <c r="S16" s="199"/>
      <c r="T16" s="103"/>
      <c r="U16" s="103"/>
      <c r="V16" s="100"/>
      <c r="W16" s="103"/>
      <c r="X16" s="103"/>
      <c r="Y16" s="104">
        <f t="shared" si="3"/>
        <v>0</v>
      </c>
      <c r="Z16" s="102"/>
      <c r="AA16" s="107"/>
      <c r="AB16" s="107"/>
      <c r="AC16" s="107"/>
      <c r="AD16" s="107"/>
      <c r="AE16" s="100"/>
      <c r="AF16" s="104">
        <f t="shared" si="4"/>
        <v>0</v>
      </c>
      <c r="AG16" s="108"/>
      <c r="AH16" s="109"/>
    </row>
    <row r="17" spans="1:34" ht="16.2" x14ac:dyDescent="0.3">
      <c r="A17" s="84" t="s">
        <v>54</v>
      </c>
      <c r="B17" s="89">
        <v>6</v>
      </c>
      <c r="C17" s="149">
        <v>0.5</v>
      </c>
      <c r="D17" s="78">
        <v>0.5</v>
      </c>
      <c r="E17" s="149">
        <v>0.3</v>
      </c>
      <c r="F17" s="149">
        <v>0.2</v>
      </c>
      <c r="G17" s="149">
        <v>0.2</v>
      </c>
      <c r="H17" s="104">
        <f t="shared" si="0"/>
        <v>1.7</v>
      </c>
      <c r="I17" s="78"/>
      <c r="J17" s="162"/>
      <c r="K17" s="162"/>
      <c r="L17" s="162"/>
      <c r="M17" s="162"/>
      <c r="N17" s="104">
        <f t="shared" si="1"/>
        <v>0</v>
      </c>
      <c r="O17" s="169">
        <f t="shared" si="2"/>
        <v>0.85</v>
      </c>
      <c r="P17" s="173" t="s">
        <v>147</v>
      </c>
      <c r="Q17" s="189" t="s">
        <v>148</v>
      </c>
      <c r="R17" s="186"/>
      <c r="S17" s="199"/>
      <c r="T17" s="110"/>
      <c r="U17" s="110"/>
      <c r="V17" s="110"/>
      <c r="W17" s="110"/>
      <c r="X17" s="110"/>
      <c r="Y17" s="104">
        <f t="shared" si="3"/>
        <v>0</v>
      </c>
      <c r="Z17" s="110"/>
      <c r="AA17" s="110"/>
      <c r="AB17" s="110"/>
      <c r="AC17" s="110"/>
      <c r="AD17" s="110"/>
      <c r="AE17" s="110"/>
      <c r="AF17" s="104">
        <f t="shared" si="4"/>
        <v>0</v>
      </c>
      <c r="AG17" s="110"/>
      <c r="AH17" s="111"/>
    </row>
    <row r="18" spans="1:34" x14ac:dyDescent="0.3">
      <c r="A18" s="84" t="s">
        <v>55</v>
      </c>
      <c r="B18" s="89">
        <v>4</v>
      </c>
      <c r="C18" s="150">
        <v>1.2</v>
      </c>
      <c r="D18" s="78">
        <v>0.5</v>
      </c>
      <c r="E18" s="78">
        <v>2.5</v>
      </c>
      <c r="F18" s="78">
        <v>0.7</v>
      </c>
      <c r="G18" s="78">
        <v>0.8</v>
      </c>
      <c r="H18" s="104">
        <f t="shared" si="0"/>
        <v>5.7</v>
      </c>
      <c r="I18" s="78">
        <v>6</v>
      </c>
      <c r="J18" s="163">
        <v>1.5</v>
      </c>
      <c r="K18" s="163">
        <v>2</v>
      </c>
      <c r="L18" s="163">
        <v>2</v>
      </c>
      <c r="M18" s="163">
        <v>0.5</v>
      </c>
      <c r="N18" s="104">
        <f t="shared" si="1"/>
        <v>6</v>
      </c>
      <c r="O18" s="106">
        <f t="shared" si="2"/>
        <v>5.85</v>
      </c>
      <c r="P18" s="173">
        <v>3</v>
      </c>
      <c r="Q18" s="192" t="s">
        <v>81</v>
      </c>
      <c r="R18" s="186"/>
      <c r="S18" s="199"/>
      <c r="T18" s="110"/>
      <c r="U18" s="110"/>
      <c r="V18" s="110"/>
      <c r="W18" s="110"/>
      <c r="X18" s="110"/>
      <c r="Y18" s="104">
        <f t="shared" si="3"/>
        <v>0</v>
      </c>
      <c r="Z18" s="110"/>
      <c r="AA18" s="110"/>
      <c r="AB18" s="110"/>
      <c r="AC18" s="110"/>
      <c r="AD18" s="110"/>
      <c r="AE18" s="110"/>
      <c r="AF18" s="104">
        <f t="shared" si="4"/>
        <v>0</v>
      </c>
      <c r="AG18" s="110"/>
      <c r="AH18" s="111"/>
    </row>
    <row r="19" spans="1:34" x14ac:dyDescent="0.3">
      <c r="A19" s="84" t="s">
        <v>56</v>
      </c>
      <c r="B19" s="89">
        <v>6</v>
      </c>
      <c r="C19" s="78">
        <v>1.5</v>
      </c>
      <c r="D19" s="78">
        <v>0.5</v>
      </c>
      <c r="E19" s="149">
        <v>0.5</v>
      </c>
      <c r="F19" s="78">
        <v>0.7</v>
      </c>
      <c r="G19" s="78">
        <v>0.8</v>
      </c>
      <c r="H19" s="104">
        <f t="shared" si="0"/>
        <v>4</v>
      </c>
      <c r="I19" s="78">
        <v>1</v>
      </c>
      <c r="J19" s="163">
        <v>1.5</v>
      </c>
      <c r="K19" s="163">
        <v>2</v>
      </c>
      <c r="L19" s="163">
        <v>2</v>
      </c>
      <c r="M19" s="163">
        <v>0.5</v>
      </c>
      <c r="N19" s="104">
        <f t="shared" si="1"/>
        <v>6</v>
      </c>
      <c r="O19" s="106">
        <f t="shared" si="2"/>
        <v>5</v>
      </c>
      <c r="P19" s="173">
        <v>4</v>
      </c>
      <c r="Q19" s="192" t="s">
        <v>150</v>
      </c>
      <c r="R19" s="186"/>
      <c r="S19" s="199"/>
      <c r="T19" s="110"/>
      <c r="U19" s="110"/>
      <c r="V19" s="110"/>
      <c r="W19" s="110"/>
      <c r="X19" s="110"/>
      <c r="Y19" s="104">
        <f t="shared" si="3"/>
        <v>0</v>
      </c>
      <c r="Z19" s="110"/>
      <c r="AA19" s="110"/>
      <c r="AB19" s="110"/>
      <c r="AC19" s="110"/>
      <c r="AD19" s="110"/>
      <c r="AE19" s="110"/>
      <c r="AF19" s="104">
        <f t="shared" si="4"/>
        <v>0</v>
      </c>
      <c r="AG19" s="110"/>
      <c r="AH19" s="111"/>
    </row>
    <row r="20" spans="1:34" x14ac:dyDescent="0.3">
      <c r="A20" s="84" t="s">
        <v>57</v>
      </c>
      <c r="B20" s="89">
        <v>1</v>
      </c>
      <c r="C20" s="150">
        <v>1.2</v>
      </c>
      <c r="D20" s="78">
        <v>0.5</v>
      </c>
      <c r="E20" s="78">
        <v>2.5</v>
      </c>
      <c r="F20" s="78">
        <v>0.7</v>
      </c>
      <c r="G20" s="78">
        <v>0.8</v>
      </c>
      <c r="H20" s="104">
        <f t="shared" si="0"/>
        <v>5.7</v>
      </c>
      <c r="I20" s="78">
        <v>5</v>
      </c>
      <c r="J20" s="163">
        <v>1.5</v>
      </c>
      <c r="K20" s="163">
        <v>2</v>
      </c>
      <c r="L20" s="163">
        <v>2</v>
      </c>
      <c r="M20" s="163">
        <v>0.5</v>
      </c>
      <c r="N20" s="104">
        <f t="shared" si="1"/>
        <v>6</v>
      </c>
      <c r="O20" s="106">
        <f t="shared" si="2"/>
        <v>5.85</v>
      </c>
      <c r="P20" s="173">
        <v>0</v>
      </c>
      <c r="Q20" s="192" t="s">
        <v>81</v>
      </c>
      <c r="R20" s="186"/>
      <c r="S20" s="199"/>
      <c r="T20" s="110"/>
      <c r="U20" s="110"/>
      <c r="V20" s="110"/>
      <c r="W20" s="110"/>
      <c r="X20" s="110"/>
      <c r="Y20" s="104">
        <f t="shared" si="3"/>
        <v>0</v>
      </c>
      <c r="Z20" s="110"/>
      <c r="AA20" s="110"/>
      <c r="AB20" s="110"/>
      <c r="AC20" s="110"/>
      <c r="AD20" s="110"/>
      <c r="AE20" s="110"/>
      <c r="AF20" s="104">
        <f t="shared" si="4"/>
        <v>0</v>
      </c>
      <c r="AG20" s="110"/>
      <c r="AH20" s="111"/>
    </row>
    <row r="21" spans="1:34" ht="16.2" x14ac:dyDescent="0.3">
      <c r="A21" s="84" t="s">
        <v>58</v>
      </c>
      <c r="B21" s="89"/>
      <c r="C21" s="78"/>
      <c r="D21" s="78"/>
      <c r="E21" s="78"/>
      <c r="F21" s="78"/>
      <c r="G21" s="78"/>
      <c r="H21" s="104">
        <f t="shared" si="0"/>
        <v>0</v>
      </c>
      <c r="I21" s="78"/>
      <c r="J21" s="163"/>
      <c r="K21" s="163"/>
      <c r="L21" s="81"/>
      <c r="M21" s="163"/>
      <c r="N21" s="104">
        <f t="shared" si="1"/>
        <v>0</v>
      </c>
      <c r="O21" s="169">
        <f t="shared" si="2"/>
        <v>0</v>
      </c>
      <c r="P21" s="173">
        <v>10</v>
      </c>
      <c r="Q21" s="189" t="s">
        <v>148</v>
      </c>
      <c r="R21" s="186"/>
      <c r="S21" s="199"/>
      <c r="T21" s="110"/>
      <c r="U21" s="110"/>
      <c r="V21" s="110"/>
      <c r="W21" s="110"/>
      <c r="X21" s="110"/>
      <c r="Y21" s="104">
        <f t="shared" si="3"/>
        <v>0</v>
      </c>
      <c r="Z21" s="110"/>
      <c r="AA21" s="110"/>
      <c r="AB21" s="110"/>
      <c r="AC21" s="110"/>
      <c r="AD21" s="110"/>
      <c r="AE21" s="110"/>
      <c r="AF21" s="104">
        <f t="shared" si="4"/>
        <v>0</v>
      </c>
      <c r="AG21" s="110"/>
      <c r="AH21" s="111"/>
    </row>
    <row r="22" spans="1:34" x14ac:dyDescent="0.3">
      <c r="A22" s="84" t="s">
        <v>59</v>
      </c>
      <c r="B22" s="89">
        <v>4</v>
      </c>
      <c r="C22" s="150">
        <v>1.2</v>
      </c>
      <c r="D22" s="78">
        <v>0.5</v>
      </c>
      <c r="E22" s="78">
        <v>2.5</v>
      </c>
      <c r="F22" s="78">
        <v>0.7</v>
      </c>
      <c r="G22" s="78">
        <v>0.8</v>
      </c>
      <c r="H22" s="104">
        <f t="shared" si="0"/>
        <v>5.7</v>
      </c>
      <c r="I22" s="78">
        <v>2</v>
      </c>
      <c r="J22" s="163">
        <v>1.5</v>
      </c>
      <c r="K22" s="163">
        <v>2</v>
      </c>
      <c r="L22" s="163">
        <v>2</v>
      </c>
      <c r="M22" s="163">
        <v>0.5</v>
      </c>
      <c r="N22" s="104">
        <f t="shared" si="1"/>
        <v>6</v>
      </c>
      <c r="O22" s="106">
        <f t="shared" si="2"/>
        <v>5.85</v>
      </c>
      <c r="P22" s="173">
        <v>1</v>
      </c>
      <c r="Q22" s="192" t="s">
        <v>81</v>
      </c>
      <c r="R22" s="186"/>
      <c r="S22" s="199"/>
      <c r="T22" s="110"/>
      <c r="U22" s="110"/>
      <c r="V22" s="110"/>
      <c r="W22" s="110"/>
      <c r="X22" s="110"/>
      <c r="Y22" s="104">
        <f t="shared" si="3"/>
        <v>0</v>
      </c>
      <c r="Z22" s="110"/>
      <c r="AA22" s="110"/>
      <c r="AB22" s="110"/>
      <c r="AC22" s="110"/>
      <c r="AD22" s="110"/>
      <c r="AE22" s="110"/>
      <c r="AF22" s="104">
        <f t="shared" si="4"/>
        <v>0</v>
      </c>
      <c r="AG22" s="110"/>
      <c r="AH22" s="111"/>
    </row>
    <row r="23" spans="1:34" ht="15" thickBot="1" x14ac:dyDescent="0.35">
      <c r="A23" s="114" t="s">
        <v>60</v>
      </c>
      <c r="B23" s="117">
        <v>5</v>
      </c>
      <c r="C23" s="146">
        <v>1.5</v>
      </c>
      <c r="D23" s="146">
        <v>0.5</v>
      </c>
      <c r="E23" s="153">
        <v>1.5</v>
      </c>
      <c r="F23" s="146">
        <v>0.7</v>
      </c>
      <c r="G23" s="146">
        <v>0.8</v>
      </c>
      <c r="H23" s="115">
        <f t="shared" si="0"/>
        <v>5</v>
      </c>
      <c r="I23" s="146">
        <v>6</v>
      </c>
      <c r="J23" s="164">
        <v>1.5</v>
      </c>
      <c r="K23" s="180">
        <v>1.5</v>
      </c>
      <c r="L23" s="164">
        <v>2</v>
      </c>
      <c r="M23" s="182">
        <v>0.2</v>
      </c>
      <c r="N23" s="115">
        <f t="shared" si="1"/>
        <v>5.2</v>
      </c>
      <c r="O23" s="116">
        <f t="shared" si="2"/>
        <v>5.0999999999999996</v>
      </c>
      <c r="P23" s="174">
        <v>2</v>
      </c>
      <c r="Q23" s="200" t="s">
        <v>150</v>
      </c>
      <c r="R23" s="187"/>
      <c r="S23" s="175"/>
      <c r="T23" s="112"/>
      <c r="U23" s="112"/>
      <c r="V23" s="112"/>
      <c r="W23" s="112"/>
      <c r="X23" s="112"/>
      <c r="Y23" s="115">
        <f t="shared" si="3"/>
        <v>0</v>
      </c>
      <c r="Z23" s="112"/>
      <c r="AA23" s="112"/>
      <c r="AB23" s="112"/>
      <c r="AC23" s="112"/>
      <c r="AD23" s="112"/>
      <c r="AE23" s="112"/>
      <c r="AF23" s="115">
        <f t="shared" si="4"/>
        <v>0</v>
      </c>
      <c r="AG23" s="112"/>
      <c r="AH23" s="113"/>
    </row>
  </sheetData>
  <mergeCells count="4">
    <mergeCell ref="B1:H1"/>
    <mergeCell ref="I1:N1"/>
    <mergeCell ref="S1:Y1"/>
    <mergeCell ref="Z1:AF1"/>
  </mergeCells>
  <phoneticPr fontId="4" alignment="center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L23" sqref="L23"/>
    </sheetView>
  </sheetViews>
  <sheetFormatPr defaultRowHeight="14.4" x14ac:dyDescent="0.3"/>
  <cols>
    <col min="1" max="1" width="32.77734375" customWidth="1"/>
    <col min="2" max="2" width="5.21875" customWidth="1"/>
    <col min="3" max="3" width="4.33203125" customWidth="1"/>
    <col min="4" max="4" width="4.5546875" customWidth="1"/>
    <col min="5" max="5" width="3.88671875" customWidth="1"/>
    <col min="6" max="6" width="4.21875" customWidth="1"/>
    <col min="7" max="8" width="3.88671875" customWidth="1"/>
    <col min="10" max="10" width="11" customWidth="1"/>
    <col min="11" max="11" width="16.5546875" customWidth="1"/>
    <col min="12" max="12" width="12" customWidth="1"/>
    <col min="13" max="14" width="10.88671875" customWidth="1"/>
    <col min="15" max="15" width="11.6640625" customWidth="1"/>
    <col min="16" max="16" width="10.88671875" customWidth="1"/>
  </cols>
  <sheetData>
    <row r="1" spans="1:16" x14ac:dyDescent="0.3">
      <c r="A1" s="7" t="s">
        <v>0</v>
      </c>
      <c r="B1" s="210" t="s">
        <v>19</v>
      </c>
      <c r="C1" s="211"/>
      <c r="D1" s="211"/>
      <c r="E1" s="211"/>
      <c r="F1" s="211"/>
      <c r="G1" s="211"/>
      <c r="H1" s="212"/>
      <c r="I1" s="4" t="s">
        <v>20</v>
      </c>
      <c r="J1" s="5" t="s">
        <v>21</v>
      </c>
      <c r="K1" s="5" t="s">
        <v>40</v>
      </c>
      <c r="L1" s="5" t="s">
        <v>22</v>
      </c>
      <c r="M1" s="5" t="s">
        <v>23</v>
      </c>
      <c r="N1" s="5" t="s">
        <v>24</v>
      </c>
      <c r="O1" s="5" t="s">
        <v>25</v>
      </c>
      <c r="P1" s="6" t="s">
        <v>26</v>
      </c>
    </row>
    <row r="2" spans="1:16" ht="15" thickBot="1" x14ac:dyDescent="0.35">
      <c r="A2" s="33"/>
      <c r="B2" s="14" t="s">
        <v>9</v>
      </c>
      <c r="C2" s="8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10" t="s">
        <v>27</v>
      </c>
      <c r="I2" s="11"/>
      <c r="J2" s="12" t="s">
        <v>28</v>
      </c>
      <c r="K2" s="12" t="s">
        <v>29</v>
      </c>
      <c r="L2" s="12" t="s">
        <v>30</v>
      </c>
      <c r="M2" s="12"/>
      <c r="N2" s="12"/>
      <c r="O2" s="12" t="s">
        <v>31</v>
      </c>
      <c r="P2" s="13" t="s">
        <v>32</v>
      </c>
    </row>
    <row r="3" spans="1:16" ht="15" thickTop="1" x14ac:dyDescent="0.3">
      <c r="A3" s="83" t="s">
        <v>41</v>
      </c>
      <c r="B3" s="63" t="s">
        <v>12</v>
      </c>
      <c r="C3" s="60" t="s">
        <v>61</v>
      </c>
      <c r="D3" s="61" t="s">
        <v>61</v>
      </c>
      <c r="E3" s="61" t="s">
        <v>62</v>
      </c>
      <c r="F3" s="61" t="s">
        <v>65</v>
      </c>
      <c r="G3" s="61" t="s">
        <v>66</v>
      </c>
      <c r="H3" s="62" t="s">
        <v>63</v>
      </c>
      <c r="I3" s="63"/>
      <c r="J3" s="61"/>
      <c r="K3" s="61"/>
      <c r="L3" s="61" t="s">
        <v>68</v>
      </c>
      <c r="M3" s="61"/>
      <c r="N3" s="61" t="s">
        <v>68</v>
      </c>
      <c r="O3" s="61"/>
      <c r="P3" s="64" t="s">
        <v>68</v>
      </c>
    </row>
    <row r="4" spans="1:16" x14ac:dyDescent="0.3">
      <c r="A4" s="84" t="s">
        <v>42</v>
      </c>
      <c r="B4" s="66" t="s">
        <v>11</v>
      </c>
      <c r="C4" s="65" t="s">
        <v>61</v>
      </c>
      <c r="D4" s="35" t="s">
        <v>63</v>
      </c>
      <c r="E4" s="35" t="s">
        <v>66</v>
      </c>
      <c r="F4" s="35" t="s">
        <v>66</v>
      </c>
      <c r="G4" s="35" t="s">
        <v>65</v>
      </c>
      <c r="H4" s="36" t="s">
        <v>61</v>
      </c>
      <c r="I4" s="66"/>
      <c r="J4" s="35"/>
      <c r="K4" s="35"/>
      <c r="L4" s="35" t="s">
        <v>68</v>
      </c>
      <c r="M4" s="35" t="s">
        <v>70</v>
      </c>
      <c r="N4" s="35" t="s">
        <v>68</v>
      </c>
      <c r="O4" s="35"/>
      <c r="P4" s="67" t="s">
        <v>68</v>
      </c>
    </row>
    <row r="5" spans="1:16" x14ac:dyDescent="0.3">
      <c r="A5" s="84" t="s">
        <v>39</v>
      </c>
      <c r="B5" s="66" t="s">
        <v>14</v>
      </c>
      <c r="C5" s="65" t="s">
        <v>63</v>
      </c>
      <c r="D5" s="35" t="s">
        <v>61</v>
      </c>
      <c r="E5" s="35" t="s">
        <v>65</v>
      </c>
      <c r="F5" s="35" t="s">
        <v>66</v>
      </c>
      <c r="G5" s="35" t="s">
        <v>61</v>
      </c>
      <c r="H5" s="36" t="s">
        <v>63</v>
      </c>
      <c r="I5" s="142" t="s">
        <v>72</v>
      </c>
      <c r="J5" s="35"/>
      <c r="K5" s="35"/>
      <c r="L5" s="143" t="s">
        <v>68</v>
      </c>
      <c r="M5" s="35"/>
      <c r="N5" s="35"/>
      <c r="O5" s="35"/>
      <c r="P5" s="143" t="s">
        <v>68</v>
      </c>
    </row>
    <row r="6" spans="1:16" x14ac:dyDescent="0.3">
      <c r="A6" s="84" t="s">
        <v>43</v>
      </c>
      <c r="B6" s="66" t="s">
        <v>27</v>
      </c>
      <c r="C6" s="65" t="s">
        <v>61</v>
      </c>
      <c r="D6" s="35" t="s">
        <v>61</v>
      </c>
      <c r="E6" s="35" t="s">
        <v>66</v>
      </c>
      <c r="F6" s="35" t="s">
        <v>61</v>
      </c>
      <c r="G6" s="35" t="s">
        <v>61</v>
      </c>
      <c r="H6" s="36" t="s">
        <v>61</v>
      </c>
      <c r="I6" s="66"/>
      <c r="J6" s="35"/>
      <c r="K6" s="35"/>
      <c r="L6" s="35"/>
      <c r="M6" s="35"/>
      <c r="N6" s="35"/>
      <c r="O6" s="35"/>
      <c r="P6" s="143" t="s">
        <v>68</v>
      </c>
    </row>
    <row r="7" spans="1:16" x14ac:dyDescent="0.3">
      <c r="A7" s="84" t="s">
        <v>64</v>
      </c>
      <c r="B7" s="66" t="s">
        <v>10</v>
      </c>
      <c r="C7" s="65" t="s">
        <v>61</v>
      </c>
      <c r="D7" s="35" t="s">
        <v>65</v>
      </c>
      <c r="E7" s="35" t="s">
        <v>61</v>
      </c>
      <c r="F7" s="35" t="s">
        <v>61</v>
      </c>
      <c r="G7" s="35" t="s">
        <v>62</v>
      </c>
      <c r="H7" s="36" t="s">
        <v>65</v>
      </c>
      <c r="I7" s="66"/>
      <c r="J7" s="35"/>
      <c r="K7" s="35"/>
      <c r="L7" s="35"/>
      <c r="M7" s="35" t="s">
        <v>68</v>
      </c>
      <c r="N7" s="35" t="s">
        <v>68</v>
      </c>
      <c r="O7" s="35" t="s">
        <v>69</v>
      </c>
      <c r="P7" s="67" t="s">
        <v>68</v>
      </c>
    </row>
    <row r="8" spans="1:16" x14ac:dyDescent="0.3">
      <c r="A8" s="84" t="s">
        <v>45</v>
      </c>
      <c r="B8" s="66" t="s">
        <v>14</v>
      </c>
      <c r="C8" s="65" t="s">
        <v>62</v>
      </c>
      <c r="D8" s="35" t="s">
        <v>66</v>
      </c>
      <c r="E8" s="35" t="s">
        <v>62</v>
      </c>
      <c r="F8" s="35" t="s">
        <v>61</v>
      </c>
      <c r="G8" s="35" t="s">
        <v>62</v>
      </c>
      <c r="H8" s="36" t="s">
        <v>61</v>
      </c>
      <c r="I8" s="66"/>
      <c r="J8" s="144" t="s">
        <v>68</v>
      </c>
      <c r="K8" s="144" t="s">
        <v>68</v>
      </c>
      <c r="L8" s="35"/>
      <c r="M8" s="144" t="s">
        <v>68</v>
      </c>
      <c r="N8" s="144" t="s">
        <v>68</v>
      </c>
      <c r="O8" s="35"/>
      <c r="P8" s="143" t="s">
        <v>68</v>
      </c>
    </row>
    <row r="9" spans="1:16" x14ac:dyDescent="0.3">
      <c r="A9" s="84" t="s">
        <v>47</v>
      </c>
      <c r="B9" s="66" t="s">
        <v>13</v>
      </c>
      <c r="C9" s="65" t="s">
        <v>61</v>
      </c>
      <c r="D9" s="35" t="s">
        <v>61</v>
      </c>
      <c r="E9" s="35" t="s">
        <v>66</v>
      </c>
      <c r="F9" s="35" t="s">
        <v>61</v>
      </c>
      <c r="G9" s="35" t="s">
        <v>61</v>
      </c>
      <c r="H9" s="36" t="s">
        <v>61</v>
      </c>
      <c r="I9" s="66"/>
      <c r="J9" s="35"/>
      <c r="K9" s="35"/>
      <c r="L9" s="35"/>
      <c r="M9" s="35"/>
      <c r="N9" s="35"/>
      <c r="O9" s="35"/>
      <c r="P9" s="67" t="s">
        <v>68</v>
      </c>
    </row>
    <row r="10" spans="1:16" x14ac:dyDescent="0.3">
      <c r="A10" s="84" t="s">
        <v>46</v>
      </c>
      <c r="B10" s="66" t="s">
        <v>10</v>
      </c>
      <c r="C10" s="65" t="s">
        <v>61</v>
      </c>
      <c r="D10" s="35" t="s">
        <v>61</v>
      </c>
      <c r="E10" s="35" t="s">
        <v>62</v>
      </c>
      <c r="F10" s="35" t="s">
        <v>61</v>
      </c>
      <c r="G10" s="35" t="s">
        <v>61</v>
      </c>
      <c r="H10" s="36" t="s">
        <v>61</v>
      </c>
      <c r="I10" s="66"/>
      <c r="J10" s="35"/>
      <c r="K10" s="35"/>
      <c r="L10" s="35"/>
      <c r="M10" s="35"/>
      <c r="N10" s="35"/>
      <c r="O10" s="35"/>
      <c r="P10" s="139" t="s">
        <v>68</v>
      </c>
    </row>
    <row r="11" spans="1:16" x14ac:dyDescent="0.3">
      <c r="A11" s="84" t="s">
        <v>48</v>
      </c>
      <c r="B11" s="66" t="s">
        <v>12</v>
      </c>
      <c r="C11" s="65" t="s">
        <v>61</v>
      </c>
      <c r="D11" s="35" t="s">
        <v>67</v>
      </c>
      <c r="E11" s="35" t="s">
        <v>62</v>
      </c>
      <c r="F11" s="35" t="s">
        <v>61</v>
      </c>
      <c r="G11" s="35" t="s">
        <v>61</v>
      </c>
      <c r="H11" s="36" t="s">
        <v>61</v>
      </c>
      <c r="I11" s="66"/>
      <c r="J11" s="35"/>
      <c r="K11" s="35"/>
      <c r="L11" s="35"/>
      <c r="M11" s="35"/>
      <c r="N11" s="35"/>
      <c r="O11" s="35"/>
      <c r="P11" s="67" t="s">
        <v>68</v>
      </c>
    </row>
    <row r="12" spans="1:16" x14ac:dyDescent="0.3">
      <c r="A12" s="84" t="s">
        <v>49</v>
      </c>
      <c r="B12" s="66" t="s">
        <v>13</v>
      </c>
      <c r="C12" s="65" t="s">
        <v>61</v>
      </c>
      <c r="D12" s="35" t="s">
        <v>61</v>
      </c>
      <c r="E12" s="35" t="s">
        <v>62</v>
      </c>
      <c r="F12" s="35" t="s">
        <v>61</v>
      </c>
      <c r="G12" s="35" t="s">
        <v>61</v>
      </c>
      <c r="H12" s="36" t="s">
        <v>61</v>
      </c>
      <c r="I12" s="66"/>
      <c r="J12" s="35"/>
      <c r="K12" s="35"/>
      <c r="L12" s="35"/>
      <c r="M12" s="35"/>
      <c r="N12" s="35"/>
      <c r="O12" s="35"/>
      <c r="P12" s="68" t="s">
        <v>68</v>
      </c>
    </row>
    <row r="13" spans="1:16" x14ac:dyDescent="0.3">
      <c r="A13" s="84" t="s">
        <v>50</v>
      </c>
      <c r="B13" s="66" t="s">
        <v>13</v>
      </c>
      <c r="C13" s="65" t="s">
        <v>63</v>
      </c>
      <c r="D13" s="35" t="s">
        <v>61</v>
      </c>
      <c r="E13" s="35" t="s">
        <v>62</v>
      </c>
      <c r="F13" s="35" t="s">
        <v>62</v>
      </c>
      <c r="G13" s="35" t="s">
        <v>61</v>
      </c>
      <c r="H13" s="36" t="s">
        <v>61</v>
      </c>
      <c r="I13" s="66"/>
      <c r="J13" s="35"/>
      <c r="K13" s="140" t="s">
        <v>68</v>
      </c>
      <c r="L13" s="140" t="s">
        <v>68</v>
      </c>
      <c r="M13" s="35"/>
      <c r="N13" s="35"/>
      <c r="O13" s="35"/>
      <c r="P13" s="139" t="s">
        <v>68</v>
      </c>
    </row>
    <row r="14" spans="1:16" x14ac:dyDescent="0.3">
      <c r="A14" s="84" t="s">
        <v>51</v>
      </c>
      <c r="B14" s="66" t="s">
        <v>14</v>
      </c>
      <c r="C14" s="65" t="s">
        <v>61</v>
      </c>
      <c r="D14" s="35" t="s">
        <v>61</v>
      </c>
      <c r="E14" s="35" t="s">
        <v>66</v>
      </c>
      <c r="F14" s="35" t="s">
        <v>62</v>
      </c>
      <c r="G14" s="35" t="s">
        <v>62</v>
      </c>
      <c r="H14" s="36" t="s">
        <v>61</v>
      </c>
      <c r="I14" s="66"/>
      <c r="J14" s="35"/>
      <c r="K14" s="35"/>
      <c r="L14" s="140" t="s">
        <v>68</v>
      </c>
      <c r="M14" s="35"/>
      <c r="N14" s="140" t="s">
        <v>68</v>
      </c>
      <c r="O14" s="35"/>
      <c r="P14" s="139" t="s">
        <v>68</v>
      </c>
    </row>
    <row r="15" spans="1:16" x14ac:dyDescent="0.3">
      <c r="A15" s="84" t="s">
        <v>52</v>
      </c>
      <c r="B15" s="66" t="s">
        <v>14</v>
      </c>
      <c r="C15" s="65" t="s">
        <v>63</v>
      </c>
      <c r="D15" s="35" t="s">
        <v>61</v>
      </c>
      <c r="E15" s="35" t="s">
        <v>62</v>
      </c>
      <c r="F15" s="35" t="s">
        <v>61</v>
      </c>
      <c r="G15" s="35" t="s">
        <v>61</v>
      </c>
      <c r="H15" s="36" t="s">
        <v>61</v>
      </c>
      <c r="I15" s="66"/>
      <c r="J15" s="35"/>
      <c r="K15" s="144" t="s">
        <v>68</v>
      </c>
      <c r="L15" s="35"/>
      <c r="M15" s="35"/>
      <c r="N15" s="35"/>
      <c r="O15" s="35"/>
      <c r="P15" s="143" t="s">
        <v>68</v>
      </c>
    </row>
    <row r="16" spans="1:16" ht="26.4" x14ac:dyDescent="0.3">
      <c r="A16" s="84" t="s">
        <v>53</v>
      </c>
      <c r="B16" s="66" t="s">
        <v>12</v>
      </c>
      <c r="C16" s="65" t="s">
        <v>63</v>
      </c>
      <c r="D16" s="35" t="s">
        <v>61</v>
      </c>
      <c r="E16" s="35" t="s">
        <v>62</v>
      </c>
      <c r="F16" s="35" t="s">
        <v>61</v>
      </c>
      <c r="G16" s="35" t="s">
        <v>61</v>
      </c>
      <c r="H16" s="36" t="s">
        <v>63</v>
      </c>
      <c r="I16" s="142" t="s">
        <v>72</v>
      </c>
      <c r="J16" s="35"/>
      <c r="K16" s="35"/>
      <c r="L16" s="35"/>
      <c r="M16" s="35"/>
      <c r="N16" s="35"/>
      <c r="O16" s="35"/>
      <c r="P16" s="145" t="s">
        <v>68</v>
      </c>
    </row>
    <row r="17" spans="1:16" x14ac:dyDescent="0.3">
      <c r="A17" s="84" t="s">
        <v>54</v>
      </c>
      <c r="B17" s="66"/>
      <c r="C17" s="65"/>
      <c r="D17" s="35"/>
      <c r="E17" s="35"/>
      <c r="F17" s="35"/>
      <c r="G17" s="35"/>
      <c r="H17" s="36"/>
      <c r="I17" s="66"/>
      <c r="J17" s="35"/>
      <c r="K17" s="35"/>
      <c r="L17" s="35"/>
      <c r="M17" s="35"/>
      <c r="N17" s="35"/>
      <c r="O17" s="35"/>
      <c r="P17" s="68"/>
    </row>
    <row r="18" spans="1:16" x14ac:dyDescent="0.3">
      <c r="A18" s="84" t="s">
        <v>55</v>
      </c>
      <c r="B18" s="66" t="s">
        <v>12</v>
      </c>
      <c r="C18" s="65" t="s">
        <v>61</v>
      </c>
      <c r="D18" s="35" t="s">
        <v>63</v>
      </c>
      <c r="E18" s="35" t="s">
        <v>61</v>
      </c>
      <c r="F18" s="35" t="s">
        <v>61</v>
      </c>
      <c r="G18" s="35" t="s">
        <v>61</v>
      </c>
      <c r="H18" s="36" t="s">
        <v>61</v>
      </c>
      <c r="I18" s="66"/>
      <c r="J18" s="35"/>
      <c r="K18" s="35"/>
      <c r="L18" s="35"/>
      <c r="M18" s="140" t="s">
        <v>71</v>
      </c>
      <c r="N18" s="35"/>
      <c r="O18" s="35"/>
      <c r="P18" s="68"/>
    </row>
    <row r="19" spans="1:16" x14ac:dyDescent="0.3">
      <c r="A19" s="84" t="s">
        <v>56</v>
      </c>
      <c r="B19" s="66" t="s">
        <v>10</v>
      </c>
      <c r="C19" s="65" t="s">
        <v>61</v>
      </c>
      <c r="D19" s="35" t="s">
        <v>61</v>
      </c>
      <c r="E19" s="35" t="s">
        <v>62</v>
      </c>
      <c r="F19" s="35" t="s">
        <v>61</v>
      </c>
      <c r="G19" s="35" t="s">
        <v>61</v>
      </c>
      <c r="H19" s="36" t="s">
        <v>63</v>
      </c>
      <c r="I19" s="66"/>
      <c r="J19" s="35"/>
      <c r="K19" s="35"/>
      <c r="L19" s="35"/>
      <c r="M19" s="35"/>
      <c r="N19" s="35"/>
      <c r="O19" s="35"/>
      <c r="P19" s="139" t="s">
        <v>68</v>
      </c>
    </row>
    <row r="20" spans="1:16" x14ac:dyDescent="0.3">
      <c r="A20" s="84" t="s">
        <v>57</v>
      </c>
      <c r="B20" s="66" t="s">
        <v>10</v>
      </c>
      <c r="C20" s="65" t="s">
        <v>61</v>
      </c>
      <c r="D20" s="35" t="s">
        <v>61</v>
      </c>
      <c r="E20" s="35" t="s">
        <v>62</v>
      </c>
      <c r="F20" s="35" t="s">
        <v>61</v>
      </c>
      <c r="G20" s="35" t="s">
        <v>61</v>
      </c>
      <c r="H20" s="36" t="s">
        <v>63</v>
      </c>
      <c r="I20" s="66"/>
      <c r="J20" s="35"/>
      <c r="K20" s="35"/>
      <c r="L20" s="35"/>
      <c r="M20" s="35"/>
      <c r="N20" s="35"/>
      <c r="O20" s="35"/>
      <c r="P20" s="67" t="s">
        <v>68</v>
      </c>
    </row>
    <row r="21" spans="1:16" x14ac:dyDescent="0.3">
      <c r="A21" s="84" t="s">
        <v>58</v>
      </c>
      <c r="B21" s="66" t="s">
        <v>14</v>
      </c>
      <c r="C21" s="65" t="s">
        <v>61</v>
      </c>
      <c r="D21" s="35" t="s">
        <v>67</v>
      </c>
      <c r="E21" s="35" t="s">
        <v>62</v>
      </c>
      <c r="F21" s="35" t="s">
        <v>62</v>
      </c>
      <c r="G21" s="35" t="s">
        <v>62</v>
      </c>
      <c r="H21" s="36" t="s">
        <v>61</v>
      </c>
      <c r="I21" s="66"/>
      <c r="J21" s="35"/>
      <c r="K21" s="35"/>
      <c r="L21" s="35" t="s">
        <v>68</v>
      </c>
      <c r="M21" s="35"/>
      <c r="N21" s="35" t="s">
        <v>68</v>
      </c>
      <c r="O21" s="35"/>
      <c r="P21" s="68" t="s">
        <v>68</v>
      </c>
    </row>
    <row r="22" spans="1:16" x14ac:dyDescent="0.3">
      <c r="A22" s="84" t="s">
        <v>59</v>
      </c>
      <c r="B22" s="72" t="s">
        <v>11</v>
      </c>
      <c r="C22" s="69" t="s">
        <v>61</v>
      </c>
      <c r="D22" s="70" t="s">
        <v>61</v>
      </c>
      <c r="E22" s="70" t="s">
        <v>62</v>
      </c>
      <c r="F22" s="70" t="s">
        <v>61</v>
      </c>
      <c r="G22" s="70" t="s">
        <v>61</v>
      </c>
      <c r="H22" s="71" t="s">
        <v>61</v>
      </c>
      <c r="I22" s="72"/>
      <c r="J22" s="70"/>
      <c r="K22" s="35"/>
      <c r="L22" s="35"/>
      <c r="M22" s="70"/>
      <c r="N22" s="35"/>
      <c r="O22" s="70"/>
      <c r="P22" s="68" t="s">
        <v>68</v>
      </c>
    </row>
    <row r="23" spans="1:16" ht="15" thickBot="1" x14ac:dyDescent="0.35">
      <c r="A23" s="114" t="s">
        <v>60</v>
      </c>
      <c r="B23" s="75" t="s">
        <v>27</v>
      </c>
      <c r="C23" s="73" t="s">
        <v>61</v>
      </c>
      <c r="D23" s="32" t="s">
        <v>61</v>
      </c>
      <c r="E23" s="32" t="s">
        <v>66</v>
      </c>
      <c r="F23" s="32" t="s">
        <v>61</v>
      </c>
      <c r="G23" s="32" t="s">
        <v>61</v>
      </c>
      <c r="H23" s="74" t="s">
        <v>61</v>
      </c>
      <c r="I23" s="75"/>
      <c r="J23" s="32"/>
      <c r="K23" s="32"/>
      <c r="L23" s="32"/>
      <c r="M23" s="32"/>
      <c r="N23" s="32"/>
      <c r="O23" s="32"/>
      <c r="P23" s="141" t="s">
        <v>68</v>
      </c>
    </row>
  </sheetData>
  <mergeCells count="1">
    <mergeCell ref="B1:H1"/>
  </mergeCells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xSplit="1" topLeftCell="B1" activePane="topRight" state="frozen"/>
      <selection activeCell="J13" sqref="J13"/>
      <selection pane="topRight" activeCell="D9" sqref="D9"/>
    </sheetView>
  </sheetViews>
  <sheetFormatPr defaultRowHeight="14.4" x14ac:dyDescent="0.3"/>
  <cols>
    <col min="1" max="1" width="33.44140625" customWidth="1"/>
    <col min="2" max="14" width="10.109375" customWidth="1"/>
    <col min="15" max="16" width="10.109375" bestFit="1" customWidth="1"/>
  </cols>
  <sheetData>
    <row r="1" spans="1:16" ht="15" thickBot="1" x14ac:dyDescent="0.35">
      <c r="A1" s="27" t="s">
        <v>0</v>
      </c>
      <c r="B1" s="15">
        <v>45698</v>
      </c>
      <c r="C1" s="15">
        <v>45705</v>
      </c>
      <c r="D1" s="30">
        <v>45712</v>
      </c>
      <c r="E1" s="23">
        <v>45719</v>
      </c>
      <c r="F1" s="23">
        <v>45726</v>
      </c>
      <c r="G1" s="22">
        <v>45733</v>
      </c>
      <c r="H1" s="23">
        <v>45740</v>
      </c>
      <c r="I1" s="26">
        <v>45747</v>
      </c>
      <c r="J1" s="26">
        <v>45754</v>
      </c>
      <c r="K1" s="26">
        <v>45761</v>
      </c>
      <c r="L1" s="26">
        <v>45768</v>
      </c>
      <c r="M1" s="26">
        <v>45775</v>
      </c>
      <c r="N1" s="26">
        <v>45782</v>
      </c>
      <c r="O1" s="26">
        <v>45789</v>
      </c>
      <c r="P1" s="26">
        <v>45796</v>
      </c>
    </row>
    <row r="2" spans="1:16" ht="15" thickTop="1" x14ac:dyDescent="0.3">
      <c r="A2" s="83" t="s">
        <v>41</v>
      </c>
      <c r="B2" s="1"/>
      <c r="C2" s="1"/>
      <c r="D2" s="31"/>
      <c r="E2" s="54"/>
      <c r="F2" s="54"/>
      <c r="G2" s="55"/>
      <c r="H2" s="56"/>
      <c r="I2" s="57"/>
      <c r="J2" s="57"/>
      <c r="K2" s="57"/>
      <c r="L2" s="58"/>
      <c r="M2" s="58"/>
      <c r="N2" s="58"/>
      <c r="O2" s="58"/>
      <c r="P2" s="58"/>
    </row>
    <row r="3" spans="1:16" x14ac:dyDescent="0.3">
      <c r="A3" s="84" t="s">
        <v>42</v>
      </c>
      <c r="B3" s="1"/>
      <c r="C3" s="1"/>
      <c r="D3" s="2"/>
      <c r="E3" s="37"/>
      <c r="F3" s="37"/>
      <c r="G3" s="38"/>
      <c r="H3" s="37"/>
      <c r="I3" s="39"/>
      <c r="J3" s="39"/>
      <c r="K3" s="39"/>
      <c r="L3" s="40"/>
      <c r="M3" s="40"/>
      <c r="N3" s="40"/>
      <c r="O3" s="40"/>
      <c r="P3" s="40"/>
    </row>
    <row r="4" spans="1:16" x14ac:dyDescent="0.3">
      <c r="A4" s="84" t="s">
        <v>39</v>
      </c>
      <c r="B4" s="1"/>
      <c r="C4" s="1"/>
      <c r="D4" s="2"/>
      <c r="E4" s="37"/>
      <c r="F4" s="37"/>
      <c r="G4" s="38"/>
      <c r="H4" s="37"/>
      <c r="I4" s="39"/>
      <c r="J4" s="39"/>
      <c r="K4" s="39"/>
      <c r="L4" s="40"/>
      <c r="M4" s="40"/>
      <c r="N4" s="59"/>
      <c r="O4" s="40"/>
      <c r="P4" s="40"/>
    </row>
    <row r="5" spans="1:16" x14ac:dyDescent="0.3">
      <c r="A5" s="84" t="s">
        <v>43</v>
      </c>
      <c r="B5" s="1"/>
      <c r="C5" s="1"/>
      <c r="D5" s="2"/>
      <c r="E5" s="37"/>
      <c r="F5" s="37"/>
      <c r="G5" s="38"/>
      <c r="H5" s="37"/>
      <c r="I5" s="39"/>
      <c r="J5" s="39"/>
      <c r="K5" s="39"/>
      <c r="L5" s="40"/>
      <c r="M5" s="40"/>
      <c r="N5" s="40"/>
      <c r="O5" s="40"/>
      <c r="P5" s="40"/>
    </row>
    <row r="6" spans="1:16" x14ac:dyDescent="0.3">
      <c r="A6" s="84" t="s">
        <v>44</v>
      </c>
      <c r="B6" s="1"/>
      <c r="C6" s="1"/>
      <c r="D6" s="2"/>
      <c r="E6" s="37"/>
      <c r="F6" s="37"/>
      <c r="G6" s="38"/>
      <c r="H6" s="37"/>
      <c r="I6" s="39"/>
      <c r="J6" s="39"/>
      <c r="K6" s="39"/>
      <c r="L6" s="40"/>
      <c r="M6" s="40"/>
      <c r="N6" s="40"/>
      <c r="O6" s="40"/>
      <c r="P6" s="40"/>
    </row>
    <row r="7" spans="1:16" x14ac:dyDescent="0.3">
      <c r="A7" s="84" t="s">
        <v>45</v>
      </c>
      <c r="B7" s="1"/>
      <c r="C7" s="1"/>
      <c r="D7" s="2"/>
      <c r="E7" s="37"/>
      <c r="F7" s="37"/>
      <c r="G7" s="38"/>
      <c r="H7" s="37"/>
      <c r="I7" s="39"/>
      <c r="J7" s="39"/>
      <c r="K7" s="39"/>
      <c r="L7" s="40"/>
      <c r="M7" s="40"/>
      <c r="N7" s="40"/>
      <c r="O7" s="40"/>
      <c r="P7" s="40"/>
    </row>
    <row r="8" spans="1:16" x14ac:dyDescent="0.3">
      <c r="A8" s="84" t="s">
        <v>46</v>
      </c>
      <c r="B8" s="1"/>
      <c r="C8" s="1"/>
      <c r="D8" s="2"/>
      <c r="E8" s="37"/>
      <c r="F8" s="37"/>
      <c r="G8" s="38"/>
      <c r="H8" s="37"/>
      <c r="I8" s="39"/>
      <c r="J8" s="39"/>
      <c r="K8" s="39"/>
      <c r="L8" s="40"/>
      <c r="M8" s="40"/>
      <c r="N8" s="40"/>
      <c r="O8" s="40"/>
      <c r="P8" s="40"/>
    </row>
    <row r="9" spans="1:16" x14ac:dyDescent="0.3">
      <c r="A9" s="84" t="s">
        <v>47</v>
      </c>
      <c r="B9" s="1"/>
      <c r="C9" s="1"/>
      <c r="D9" s="2"/>
      <c r="E9" s="37"/>
      <c r="F9" s="37"/>
      <c r="G9" s="38"/>
      <c r="H9" s="37"/>
      <c r="I9" s="39"/>
      <c r="J9" s="39"/>
      <c r="K9" s="39"/>
      <c r="L9" s="40"/>
      <c r="M9" s="40"/>
      <c r="N9" s="40"/>
      <c r="O9" s="40"/>
      <c r="P9" s="40"/>
    </row>
    <row r="10" spans="1:16" x14ac:dyDescent="0.3">
      <c r="A10" s="84" t="s">
        <v>48</v>
      </c>
      <c r="B10" s="1"/>
      <c r="C10" s="1"/>
      <c r="D10" s="2"/>
      <c r="E10" s="37"/>
      <c r="F10" s="37"/>
      <c r="G10" s="38"/>
      <c r="H10" s="37"/>
      <c r="I10" s="39"/>
      <c r="J10" s="39"/>
      <c r="K10" s="39"/>
      <c r="L10" s="40"/>
      <c r="M10" s="40"/>
      <c r="N10" s="40"/>
      <c r="O10" s="40"/>
      <c r="P10" s="40"/>
    </row>
    <row r="11" spans="1:16" x14ac:dyDescent="0.3">
      <c r="A11" s="84" t="s">
        <v>49</v>
      </c>
      <c r="B11" s="1"/>
      <c r="C11" s="1"/>
      <c r="D11" s="2"/>
      <c r="E11" s="37"/>
      <c r="F11" s="37"/>
      <c r="G11" s="38"/>
      <c r="H11" s="37"/>
      <c r="I11" s="39"/>
      <c r="J11" s="39"/>
      <c r="K11" s="39"/>
      <c r="L11" s="40"/>
      <c r="M11" s="40"/>
      <c r="N11" s="40"/>
      <c r="O11" s="40"/>
      <c r="P11" s="40"/>
    </row>
    <row r="12" spans="1:16" x14ac:dyDescent="0.3">
      <c r="A12" s="84" t="s">
        <v>50</v>
      </c>
      <c r="B12" s="1"/>
      <c r="C12" s="1"/>
      <c r="D12" s="2"/>
      <c r="E12" s="37"/>
      <c r="F12" s="37"/>
      <c r="G12" s="38"/>
      <c r="H12" s="37"/>
      <c r="I12" s="39"/>
      <c r="J12" s="39"/>
      <c r="K12" s="39"/>
      <c r="L12" s="40"/>
      <c r="M12" s="40"/>
      <c r="N12" s="40"/>
      <c r="O12" s="40"/>
      <c r="P12" s="40"/>
    </row>
    <row r="13" spans="1:16" x14ac:dyDescent="0.3">
      <c r="A13" s="84" t="s">
        <v>51</v>
      </c>
      <c r="B13" s="3"/>
      <c r="C13" s="1"/>
      <c r="D13" s="2"/>
      <c r="E13" s="37"/>
      <c r="F13" s="37"/>
      <c r="G13" s="38"/>
      <c r="H13" s="37"/>
      <c r="I13" s="39"/>
      <c r="J13" s="39"/>
      <c r="K13" s="39"/>
      <c r="L13" s="40"/>
      <c r="M13" s="40"/>
      <c r="N13" s="40"/>
      <c r="O13" s="40"/>
      <c r="P13" s="40"/>
    </row>
    <row r="14" spans="1:16" x14ac:dyDescent="0.3">
      <c r="A14" s="84" t="s">
        <v>52</v>
      </c>
      <c r="B14" s="1"/>
      <c r="C14" s="1"/>
      <c r="D14" s="2"/>
      <c r="E14" s="37"/>
      <c r="F14" s="37"/>
      <c r="G14" s="38"/>
      <c r="H14" s="37"/>
      <c r="I14" s="39"/>
      <c r="J14" s="39"/>
      <c r="K14" s="39"/>
      <c r="L14" s="40"/>
      <c r="M14" s="40"/>
      <c r="N14" s="40"/>
      <c r="O14" s="40"/>
      <c r="P14" s="40"/>
    </row>
    <row r="15" spans="1:16" ht="26.4" x14ac:dyDescent="0.3">
      <c r="A15" s="84" t="s">
        <v>53</v>
      </c>
      <c r="B15" s="1"/>
      <c r="C15" s="1"/>
      <c r="D15" s="2"/>
      <c r="E15" s="37"/>
      <c r="F15" s="37"/>
      <c r="G15" s="38"/>
      <c r="H15" s="37"/>
      <c r="I15" s="39"/>
      <c r="J15" s="39"/>
      <c r="K15" s="39"/>
      <c r="L15" s="40"/>
      <c r="M15" s="40"/>
      <c r="N15" s="40"/>
      <c r="O15" s="40"/>
      <c r="P15" s="40"/>
    </row>
    <row r="16" spans="1:16" x14ac:dyDescent="0.3">
      <c r="A16" s="84" t="s">
        <v>54</v>
      </c>
      <c r="B16" s="1"/>
      <c r="C16" s="1"/>
      <c r="D16" s="2"/>
      <c r="E16" s="37"/>
      <c r="F16" s="37"/>
      <c r="G16" s="38"/>
      <c r="H16" s="37"/>
      <c r="I16" s="39"/>
      <c r="J16" s="39"/>
      <c r="K16" s="39"/>
      <c r="L16" s="40"/>
      <c r="M16" s="40"/>
      <c r="N16" s="40"/>
      <c r="O16" s="40"/>
      <c r="P16" s="40"/>
    </row>
    <row r="17" spans="1:16" x14ac:dyDescent="0.3">
      <c r="A17" s="84" t="s">
        <v>55</v>
      </c>
      <c r="B17" s="1"/>
      <c r="C17" s="1"/>
      <c r="D17" s="2"/>
      <c r="E17" s="37"/>
      <c r="F17" s="37"/>
      <c r="G17" s="38"/>
      <c r="H17" s="37"/>
      <c r="I17" s="39"/>
      <c r="J17" s="39"/>
      <c r="K17" s="39"/>
      <c r="L17" s="40"/>
      <c r="M17" s="40"/>
      <c r="N17" s="40"/>
      <c r="O17" s="40"/>
      <c r="P17" s="40"/>
    </row>
    <row r="18" spans="1:16" x14ac:dyDescent="0.3">
      <c r="A18" s="84" t="s">
        <v>56</v>
      </c>
      <c r="B18" s="1"/>
      <c r="C18" s="1"/>
      <c r="D18" s="2"/>
      <c r="E18" s="37"/>
      <c r="F18" s="37"/>
      <c r="G18" s="38"/>
      <c r="H18" s="37"/>
      <c r="I18" s="39"/>
      <c r="J18" s="39"/>
      <c r="K18" s="39"/>
      <c r="L18" s="40"/>
      <c r="M18" s="40"/>
      <c r="N18" s="40"/>
      <c r="O18" s="40"/>
      <c r="P18" s="40"/>
    </row>
    <row r="19" spans="1:16" x14ac:dyDescent="0.3">
      <c r="A19" s="84" t="s">
        <v>57</v>
      </c>
      <c r="B19" s="1"/>
      <c r="C19" s="1"/>
      <c r="D19" s="2"/>
      <c r="E19" s="37"/>
      <c r="F19" s="37"/>
      <c r="G19" s="38"/>
      <c r="H19" s="37"/>
      <c r="I19" s="39"/>
      <c r="J19" s="39"/>
      <c r="K19" s="39"/>
      <c r="L19" s="40"/>
      <c r="M19" s="40"/>
      <c r="N19" s="40"/>
      <c r="O19" s="40"/>
      <c r="P19" s="40"/>
    </row>
    <row r="20" spans="1:16" x14ac:dyDescent="0.3">
      <c r="A20" s="84" t="s">
        <v>58</v>
      </c>
      <c r="B20" s="1"/>
      <c r="C20" s="1"/>
      <c r="D20" s="2"/>
      <c r="E20" s="37"/>
      <c r="F20" s="37"/>
      <c r="G20" s="38"/>
      <c r="H20" s="37"/>
      <c r="I20" s="39"/>
      <c r="J20" s="39"/>
      <c r="K20" s="39"/>
      <c r="L20" s="40"/>
      <c r="M20" s="40"/>
      <c r="N20" s="40"/>
      <c r="O20" s="40"/>
      <c r="P20" s="40"/>
    </row>
    <row r="21" spans="1:16" x14ac:dyDescent="0.3">
      <c r="A21" s="84" t="s">
        <v>59</v>
      </c>
      <c r="B21" s="1"/>
      <c r="C21" s="1"/>
      <c r="D21" s="2"/>
      <c r="E21" s="37"/>
      <c r="F21" s="37"/>
      <c r="G21" s="38"/>
      <c r="H21" s="37"/>
      <c r="I21" s="39"/>
      <c r="J21" s="39"/>
      <c r="K21" s="39"/>
      <c r="L21" s="40"/>
      <c r="M21" s="40"/>
      <c r="N21" s="40"/>
      <c r="O21" s="40"/>
      <c r="P21" s="40"/>
    </row>
    <row r="22" spans="1:16" x14ac:dyDescent="0.3">
      <c r="A22" s="84" t="s">
        <v>60</v>
      </c>
      <c r="B22" s="1"/>
      <c r="C22" s="1"/>
      <c r="D22" s="2"/>
      <c r="E22" s="37"/>
      <c r="F22" s="37"/>
      <c r="G22" s="38"/>
      <c r="H22" s="37"/>
      <c r="I22" s="39"/>
      <c r="J22" s="39"/>
      <c r="K22" s="39"/>
      <c r="L22" s="40"/>
      <c r="M22" s="40"/>
      <c r="N22" s="40"/>
      <c r="O22" s="40"/>
      <c r="P22" s="40"/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085E816924EEA4E9E53ED926EE3647D" ma:contentTypeVersion="2" ma:contentTypeDescription="Создание документа." ma:contentTypeScope="" ma:versionID="1587be97162e3da641e02d085eedff83">
  <xsd:schema xmlns:xsd="http://www.w3.org/2001/XMLSchema" xmlns:xs="http://www.w3.org/2001/XMLSchema" xmlns:p="http://schemas.microsoft.com/office/2006/metadata/properties" xmlns:ns2="91ba95a7-f26e-42dc-a98c-811fe708d639" targetNamespace="http://schemas.microsoft.com/office/2006/metadata/properties" ma:root="true" ma:fieldsID="46a32f0af9b12c016567e4ef4e91c5f5" ns2:_="">
    <xsd:import namespace="91ba95a7-f26e-42dc-a98c-811fe708d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a95a7-f26e-42dc-a98c-811fe708d6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A3FC68-BF4B-47DC-A101-EE92CE5646E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91ba95a7-f26e-42dc-a98c-811fe708d63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77D6148-7342-4567-A0DF-321BE2B29E3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1ba95a7-f26e-42dc-a98c-811fe708d63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F37C48-5E2A-4E75-8C25-F0F72C674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308 - 1 семестр</vt:lpstr>
      <vt:lpstr>308, с.р.</vt:lpstr>
      <vt:lpstr>308, кр</vt:lpstr>
      <vt:lpstr>308, кр0</vt:lpstr>
      <vt:lpstr>308 - 2 семестр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Алексей</dc:creator>
  <cp:keywords/>
  <dc:description/>
  <cp:lastModifiedBy>Алексей</cp:lastModifiedBy>
  <cp:revision/>
  <dcterms:created xsi:type="dcterms:W3CDTF">2022-09-05T17:44:19Z</dcterms:created>
  <dcterms:modified xsi:type="dcterms:W3CDTF">2025-12-20T19:36:56Z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0x010100B085E816924EEA4E9E53ED926EE3647D</vt:lpwstr>
  </property>
</Properties>
</file>